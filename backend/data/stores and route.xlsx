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ayarzul.s/Documents/route/backend/data/"/>
    </mc:Choice>
  </mc:AlternateContent>
  <xr:revisionPtr revIDLastSave="0" documentId="13_ncr:1_{D38CC7D1-72B7-C94C-9F91-E05C7C76AD46}" xr6:coauthVersionLast="47" xr6:coauthVersionMax="47" xr10:uidLastSave="{00000000-0000-0000-0000-000000000000}"/>
  <bookViews>
    <workbookView xWindow="-28800" yWindow="-18160" windowWidth="28800" windowHeight="25340" xr2:uid="{2C81A601-0FFA-204E-A1BE-4995C35086D9}"/>
  </bookViews>
  <sheets>
    <sheet name="Store" sheetId="1" r:id="rId1"/>
    <sheet name="Vehicle" sheetId="3" r:id="rId2"/>
    <sheet name="Dry DC" sheetId="5" r:id="rId3"/>
    <sheet name="Cold DC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5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</calcChain>
</file>

<file path=xl/sharedStrings.xml><?xml version="1.0" encoding="utf-8"?>
<sst xmlns="http://schemas.openxmlformats.org/spreadsheetml/2006/main" count="4479" uniqueCount="2776">
  <si>
    <t>Store ID</t>
  </si>
  <si>
    <t>BIZLOC_ENG_NM</t>
  </si>
  <si>
    <t>BIZLOC_NM</t>
  </si>
  <si>
    <t>ADDR_1</t>
  </si>
  <si>
    <t>DTL_ADDR</t>
  </si>
  <si>
    <t>LATITUDE</t>
  </si>
  <si>
    <t>LONGITUDE</t>
  </si>
  <si>
    <t>SalesCloseTime</t>
  </si>
  <si>
    <t>00001</t>
  </si>
  <si>
    <t>F UBH Building</t>
  </si>
  <si>
    <t>F Юү Би Эйч Бьюлдинг</t>
  </si>
  <si>
    <t>Сүхбаатар дүүрэг</t>
  </si>
  <si>
    <t>Сүхбаатар дүүргийн 1 дүгээр хороо, Энхтайваны өргөн чөлөө, Юби Эйч төвийн 1 давхарын 101 тоотод</t>
  </si>
  <si>
    <t>00002</t>
  </si>
  <si>
    <t>Art Gallery</t>
  </si>
  <si>
    <t>Арт Галерей</t>
  </si>
  <si>
    <t>Сүхбаатар дүүргийн 1 дүгээр хороо, Урчуудын эвлэлийн байр Б корпуст</t>
  </si>
  <si>
    <t>00003</t>
  </si>
  <si>
    <t>Central Tower</t>
  </si>
  <si>
    <t>Сэнтрал Тауэр</t>
  </si>
  <si>
    <t>Сүхбаатар дүүргийн 8 дугаар хороо, Сэнтрал Тауэр 3-306 тоот</t>
  </si>
  <si>
    <t>00004</t>
  </si>
  <si>
    <t>MUIS</t>
  </si>
  <si>
    <t>МУИС</t>
  </si>
  <si>
    <t>СБД, 8-р хороо, Бага тойруу /14200/, Бага тойруу гудамж, 28 тоот</t>
  </si>
  <si>
    <t>00005</t>
  </si>
  <si>
    <t>Gurvanbileg</t>
  </si>
  <si>
    <t>Гурванбилэг</t>
  </si>
  <si>
    <t>Баянгол дүүрэг</t>
  </si>
  <si>
    <t>БГД, 18-р хороо, 4-р хороолол, Ард Аюушийн өргөн чөлөө, 10-р байр, 1 давхар</t>
  </si>
  <si>
    <t>00006</t>
  </si>
  <si>
    <t>Peacemall</t>
  </si>
  <si>
    <t>Пийс Молл</t>
  </si>
  <si>
    <t>Чингэлтэй дүүрэг</t>
  </si>
  <si>
    <t>ЧД, 3-р хороо, 50 мянгат, 17-р байр, 27 тоот</t>
  </si>
  <si>
    <t>00007</t>
  </si>
  <si>
    <t>Shangrila</t>
  </si>
  <si>
    <t>Шангри-Ла</t>
  </si>
  <si>
    <t>СБД, 1-р хороо, Олимпийн гудамж, /14241/, 19A-C</t>
  </si>
  <si>
    <t>00008</t>
  </si>
  <si>
    <t>5th school</t>
  </si>
  <si>
    <t>5-р сургууль</t>
  </si>
  <si>
    <t>ЧД, 6-р хороо, Бага тойруу гудамжны 44-р байр, 62 тоот</t>
  </si>
  <si>
    <t>00009</t>
  </si>
  <si>
    <t>Narnii horoolol</t>
  </si>
  <si>
    <t>Нарны хороолол</t>
  </si>
  <si>
    <t>Нарны хороолол салбар БГД 3 дугаар хороо Үйлдвэрийн төвийн бүс /16020/ Энгельс гудамж 29/10 байр, 1 давхарт</t>
  </si>
  <si>
    <t>00010</t>
  </si>
  <si>
    <t>Баянзүрх дүүрэг</t>
  </si>
  <si>
    <t>Баянзүрх дүүрэг, 7 хороо, 15-р хороолол /13345/, Их тойруу, 64-р байр, 1 давхар</t>
  </si>
  <si>
    <t>00011</t>
  </si>
  <si>
    <t>64th store</t>
  </si>
  <si>
    <t>СБД, 8-р хороо, залуучуудын гудамж 13/1 дүгээр байрны 1 давхарт</t>
  </si>
  <si>
    <t>00012</t>
  </si>
  <si>
    <t>City Plaza</t>
  </si>
  <si>
    <t>Сити Плаза</t>
  </si>
  <si>
    <t>СБД, 7-р хороо, Сөүлийн гудамж 6/1 дүгээр байрны 1 давхарт</t>
  </si>
  <si>
    <t>00013</t>
  </si>
  <si>
    <t>Baigal tuv</t>
  </si>
  <si>
    <t>Байгал Төв</t>
  </si>
  <si>
    <t>СБД, 8-р хороо, 11-р хороолол, Оюутны гудамж, 12А байрны 1 давхарт</t>
  </si>
  <si>
    <t>00014</t>
  </si>
  <si>
    <t>Rapid harsh</t>
  </si>
  <si>
    <t>Рапид Харш</t>
  </si>
  <si>
    <t>Хан-Уул дүүрэг</t>
  </si>
  <si>
    <t>ХУД, 15-р хороо, Рапид харш Нийслэл хүрээ өргөн чөлөө гудамж, 29 байрны 2 тоот</t>
  </si>
  <si>
    <t>00015</t>
  </si>
  <si>
    <t>Bukhiin urguu</t>
  </si>
  <si>
    <t>Бөхийн Өргөө</t>
  </si>
  <si>
    <t>БЗД, 6-р хороо, 13-р хороолол, 62 байрны 16 тоот</t>
  </si>
  <si>
    <t>00016</t>
  </si>
  <si>
    <t>Grand Office</t>
  </si>
  <si>
    <t>Гранд Оффис</t>
  </si>
  <si>
    <t>СБД, 1-р хороо, Жамъян гүний гудамж, 12 байрны 1 давхар</t>
  </si>
  <si>
    <t>00017</t>
  </si>
  <si>
    <t>Modnii 2</t>
  </si>
  <si>
    <t>F Модны 2</t>
  </si>
  <si>
    <t>БГД, 18-р хороо, 4-р хороолол, Жалханз Хутагт Дамдинбазарын гудамж, 35 байрны D блок</t>
  </si>
  <si>
    <t>00018</t>
  </si>
  <si>
    <t>Ardiin erkh</t>
  </si>
  <si>
    <t>Ардын Эрх</t>
  </si>
  <si>
    <t>СБД, 8-р хороо, 11-р хороолол /14193/, Их тойруу 45 байрны 1 давхарт</t>
  </si>
  <si>
    <t>00019</t>
  </si>
  <si>
    <t>Urt tsagaan</t>
  </si>
  <si>
    <t>Урт Цагаан</t>
  </si>
  <si>
    <t>ЧД, 3-р хороо, 2-р 40 мянгат, 3-р байр, 18 тоот</t>
  </si>
  <si>
    <t>00020</t>
  </si>
  <si>
    <t>Huuhdiin 100</t>
  </si>
  <si>
    <t>F Хүүхдийн 100</t>
  </si>
  <si>
    <t>СБД, 3-р хороо, 5-р хороолол, Сөүлийн гудамж-18 дугаартай барилгын 1 давхар болон зоорийн давхар</t>
  </si>
  <si>
    <t>00021</t>
  </si>
  <si>
    <t>Zaisan khill</t>
  </si>
  <si>
    <t>Зайсан Хилл</t>
  </si>
  <si>
    <t>ХУД, 11-р хороо, Зайсан 17023, Дүнжингарав 14, 1 давхар</t>
  </si>
  <si>
    <t>00022</t>
  </si>
  <si>
    <t>13 Och Tuv</t>
  </si>
  <si>
    <t>13 Оч Төв</t>
  </si>
  <si>
    <t>БЗД, 15-р хороо, Энхтайваны өргөн чөлөө, 47-4, Оч төвийн 1 давхар</t>
  </si>
  <si>
    <t>00023</t>
  </si>
  <si>
    <t>Tuv shuudan</t>
  </si>
  <si>
    <t>Төв Шуудан</t>
  </si>
  <si>
    <t>ЧД, 2-р хороо, X-18 байр, 1-р давхар</t>
  </si>
  <si>
    <t>00024</t>
  </si>
  <si>
    <t>Shonkhor plaza</t>
  </si>
  <si>
    <t>Шонхор Плаза</t>
  </si>
  <si>
    <t>БГД, 8-р хороо, 4-р хороолол, Ард Аюушийн гудамж, Шонхор Плаза төвийн 1-р давхар</t>
  </si>
  <si>
    <t>00025</t>
  </si>
  <si>
    <t>Hunsnii 1</t>
  </si>
  <si>
    <t>Хүнсний 1</t>
  </si>
  <si>
    <t>ЧД, 4-р хороо, Бага тойруу, 12-р байр, 1-р давхар</t>
  </si>
  <si>
    <t>00026</t>
  </si>
  <si>
    <t>Sky resort</t>
  </si>
  <si>
    <t>Скай Резорт</t>
  </si>
  <si>
    <t>БЗД, 11-р хороо, Богд Хан Уул, Хүрхрээгийн ам, Скай Резорт цанын бааз</t>
  </si>
  <si>
    <t>00027</t>
  </si>
  <si>
    <t>Crystal Town</t>
  </si>
  <si>
    <t>Кристалл Таун</t>
  </si>
  <si>
    <t>БЗД, 26-р хороо, Кристалл Таун хотхон /13311/ Хүннү гудамж 804 байр, 104а, 104б тоот</t>
  </si>
  <si>
    <t>00028</t>
  </si>
  <si>
    <t>F Talk Talk English</t>
  </si>
  <si>
    <t>F МУИС ЭЗС</t>
  </si>
  <si>
    <t>СБД, 8-р хороо, 11-р хороолол, Бага тойруу, 19-р байрны 1-р давхар</t>
  </si>
  <si>
    <t>00029</t>
  </si>
  <si>
    <t>MNU</t>
  </si>
  <si>
    <t>МҮИС</t>
  </si>
  <si>
    <t>БГД, 11-р хороо, Баруун тасганы 1-р гудамж, МҮИС-н шинэ байрны 1-р давхар</t>
  </si>
  <si>
    <t>00030</t>
  </si>
  <si>
    <t>F 11 Khoroolol</t>
  </si>
  <si>
    <t>F 11-р хороолол</t>
  </si>
  <si>
    <t>СБД, 7-р хороо, 11-р хороолол, 10-р байрны баруун талд Баялаг төвийн 1-р давхар</t>
  </si>
  <si>
    <t>00031</t>
  </si>
  <si>
    <t>Naadam Center</t>
  </si>
  <si>
    <t>F Наадам</t>
  </si>
  <si>
    <t>ХУД, 15-р хороо, Махатма Ганди, 25-4 Наадам центрийн хойд талын шинэ байрны 1-р давхар</t>
  </si>
  <si>
    <t>00032</t>
  </si>
  <si>
    <t>4th khoroolol</t>
  </si>
  <si>
    <t>4-р хороолол</t>
  </si>
  <si>
    <t>БГД, 4-р хороолол, Ард Аюушийн өргөн чөлөө, хуучнаар 28 эмийн үйлдвэрийн барилга</t>
  </si>
  <si>
    <t>00033</t>
  </si>
  <si>
    <t>Khunnu 2222</t>
  </si>
  <si>
    <t>Хүннү2222</t>
  </si>
  <si>
    <t>ХУД, 15-р хороо, Хүннү-2222, Их Монгол улс гудамж, 101-118 байр, 14 тоот</t>
  </si>
  <si>
    <t>00034</t>
  </si>
  <si>
    <t>Sodon khoroolol</t>
  </si>
  <si>
    <t>Содон</t>
  </si>
  <si>
    <t>Сонгинохайрхан дүүрэг</t>
  </si>
  <si>
    <t>СХД, 4-р хороо, Ханын материал 18062 Үйлдвэрчний эвлэлийн гудамж 102 байр, 102 үйлчилгээний хэсэг тоот</t>
  </si>
  <si>
    <t>00035</t>
  </si>
  <si>
    <t>БЗД, 26-р хороо, Баянмонгол хороолол, 416-р байр, F-1, F-2</t>
  </si>
  <si>
    <t>00036</t>
  </si>
  <si>
    <t>UBTZ</t>
  </si>
  <si>
    <t>УБТЗ</t>
  </si>
  <si>
    <t>БГД, 2- хороо, нарны зам өргөн чөлөө, Вокзал</t>
  </si>
  <si>
    <t>00037</t>
  </si>
  <si>
    <t>10 khoroolol</t>
  </si>
  <si>
    <t>10-р хороолол</t>
  </si>
  <si>
    <t>00038</t>
  </si>
  <si>
    <t>Marshall town</t>
  </si>
  <si>
    <t>Маршал таун</t>
  </si>
  <si>
    <t>ХУД, 11-р хороо, Маршал таун, Олимп гудамж, 102 байр, 4 тоот</t>
  </si>
  <si>
    <t>00039</t>
  </si>
  <si>
    <t>F Tsetsen Khangai</t>
  </si>
  <si>
    <t>F Цэцэнхангай</t>
  </si>
  <si>
    <t>БЗД, 6-р хороо, 13-р хороолол /13373/, Энхтайваны өргөн чөлөө гудамж, 4А тоот</t>
  </si>
  <si>
    <t>00040</t>
  </si>
  <si>
    <t>Khunsnii 51</t>
  </si>
  <si>
    <t>Хүнсний 51</t>
  </si>
  <si>
    <t>ЧД, 1-р хороо, Бага тойруугийн 7е/2 дугаар байрны 2</t>
  </si>
  <si>
    <t>00041</t>
  </si>
  <si>
    <t>7 star</t>
  </si>
  <si>
    <t>Юү Би Таун</t>
  </si>
  <si>
    <t>ХУД, 15-р хороо, Үйлдвэр-2 /17041/, Туул гол гудамж, 70-р байр, V-2</t>
  </si>
  <si>
    <t>00042</t>
  </si>
  <si>
    <t>Dalai tower</t>
  </si>
  <si>
    <t>F Далай тауэр</t>
  </si>
  <si>
    <t>СБД, 1-р хороо, 13 Юнеско гудамж, 31 тоот</t>
  </si>
  <si>
    <t>00043</t>
  </si>
  <si>
    <t>Selbe</t>
  </si>
  <si>
    <t>Сэлбэ</t>
  </si>
  <si>
    <t>БЗД, 25-р хороо, 13-р хороолол /13371/, Хомланд хотхон а блок байр, 0 тоот</t>
  </si>
  <si>
    <t>00044</t>
  </si>
  <si>
    <t>Bayangol</t>
  </si>
  <si>
    <t>БГД</t>
  </si>
  <si>
    <t>БГД, 4-р хороо, 2-р хороолол, Замчид гудамж, 21-р байр, 1-р давхарын Б хэсэг</t>
  </si>
  <si>
    <t>00045</t>
  </si>
  <si>
    <t>13r horoolol</t>
  </si>
  <si>
    <t>Бөхийн Өргөө 2</t>
  </si>
  <si>
    <t>БЗД, 6-р хороо, 13-р хороолол /13373/, Энхтайваны өргөн чөлөө гудамж, 73-р байр, 101 тоот</t>
  </si>
  <si>
    <t>00046</t>
  </si>
  <si>
    <t>Bogd-Ar</t>
  </si>
  <si>
    <t>Богд-Ар</t>
  </si>
  <si>
    <t>00047</t>
  </si>
  <si>
    <t>F Aman Khuur 1</t>
  </si>
  <si>
    <t>F Аман Хуур 1</t>
  </si>
  <si>
    <t>БЗД, 14-р хороо, 14-р хороолол /13335/, 38/2-р байр, 1 давхар, 12 тоот</t>
  </si>
  <si>
    <t>00048</t>
  </si>
  <si>
    <t>F Daco tuv</t>
  </si>
  <si>
    <t>F Өргөө</t>
  </si>
  <si>
    <t>БГД, 13-р хороо, 3-р хороолол /16091/, Өнөр хорооллын гудамж, 14 тоот</t>
  </si>
  <si>
    <t>00049</t>
  </si>
  <si>
    <t>Grand plaza</t>
  </si>
  <si>
    <t>F Гранд Плаза</t>
  </si>
  <si>
    <t>БГД, 2-р хороо, 2-р хороолол /16050/ Сөүлийн гудамж, 45/8-р байр, 1 давхар</t>
  </si>
  <si>
    <t>00050</t>
  </si>
  <si>
    <t>Business Plaza</t>
  </si>
  <si>
    <t>Бизнес Плаза</t>
  </si>
  <si>
    <t>СБД, 1-р хороо, 5-р хороолол /14251/, Чингисийн өргөн чөлөө, 10 тоот</t>
  </si>
  <si>
    <t>00051</t>
  </si>
  <si>
    <t>F Gegeenten</t>
  </si>
  <si>
    <t>F Гэгээнтэн</t>
  </si>
  <si>
    <t>ХУД, 15-р хороо, Гэгээнтэн зайсан гудамж, 102-р байр, 1 давхрын 1-3 тоот</t>
  </si>
  <si>
    <t>00052</t>
  </si>
  <si>
    <t>Kino uildver</t>
  </si>
  <si>
    <t>F Кино Үйлдвэр</t>
  </si>
  <si>
    <t>БЗД, 5-р хороо, 15-р хороолол /13343/, Энхтайваны өргөн чөлөө, 1 тоот</t>
  </si>
  <si>
    <t>00053</t>
  </si>
  <si>
    <t>Zaisan</t>
  </si>
  <si>
    <t>Зайсан</t>
  </si>
  <si>
    <t>ХУД, 11-р хороо, Зайсан Ар Зайсан гудамж, 53-р байр, 1 давхрын 1 тоот</t>
  </si>
  <si>
    <t>00054</t>
  </si>
  <si>
    <t>Modnii 2 Elegance</t>
  </si>
  <si>
    <t>Модны 2 Элеганс Таун</t>
  </si>
  <si>
    <t>БГД, 17-р хороо, 4-р хороолол, Жалханз худагт дамдинбазар гудамж, 44с, 44d байр, 1 давхар тоот</t>
  </si>
  <si>
    <t>00055</t>
  </si>
  <si>
    <t>F 13-iin dund zam</t>
  </si>
  <si>
    <t>F 13-ын дунд зам</t>
  </si>
  <si>
    <t>БЗД, 18-р хороо, 13-р хороолол /13370/, Манлайбаатар дамдинсүрэнгийн гудамж, 14/4 дугаартай барилгын 1 дүгээр давхрын А тоот</t>
  </si>
  <si>
    <t>00056</t>
  </si>
  <si>
    <t>ЧД, 1-р хороо, Бага тойруу гудамж, 3/9 дүгээр байрны 1 дүгээр давхар</t>
  </si>
  <si>
    <t>00057</t>
  </si>
  <si>
    <t>Narlag Khotkhon</t>
  </si>
  <si>
    <t>Нарлаг хотхон</t>
  </si>
  <si>
    <t>БГД, 7-р хороо, 3-р хороолол /16094/, Ард аюушийн өргөн чөлөө гудамж, 5 тоот</t>
  </si>
  <si>
    <t>00058</t>
  </si>
  <si>
    <t>Intermed</t>
  </si>
  <si>
    <t>Интермед</t>
  </si>
  <si>
    <t>ХУД, 15-р хороо, Чингэсийн өргөн чөлөө -41, Үйлдвэр – 17040, Интернэйшнл Медикал Сентер, Интермед эмнэлгийн байр</t>
  </si>
  <si>
    <t>00059</t>
  </si>
  <si>
    <t>Tuguldur tuv</t>
  </si>
  <si>
    <t>Төгөлдөр төв</t>
  </si>
  <si>
    <t>СБД, 8-р хороо, 11-р хороолол, Энхтайваны өргөн чөлөө гудамж, 5 тоот</t>
  </si>
  <si>
    <t>00060</t>
  </si>
  <si>
    <t>Union Building</t>
  </si>
  <si>
    <t>Юнион Бюлдинг</t>
  </si>
  <si>
    <t>00061</t>
  </si>
  <si>
    <t>Enkhtaivan guur Petrovis</t>
  </si>
  <si>
    <t>Энхтайваны гүүр</t>
  </si>
  <si>
    <t>ХУД, 1-р хороо, Энхтайваны гүүрний баруун урд байрлалтай Петровис ШТС-16</t>
  </si>
  <si>
    <t>00062</t>
  </si>
  <si>
    <t>Амгалан</t>
  </si>
  <si>
    <t>БЗД, 10-р хороо, Амгалан /13270/, Гачууртын зам Петровис ШТС-02</t>
  </si>
  <si>
    <t>00063</t>
  </si>
  <si>
    <t>Bayanzurkh tovchoo Petrovis</t>
  </si>
  <si>
    <t>Баянзүрхийн товчоо</t>
  </si>
  <si>
    <t>БЗД, 10-р хороо, Баянзүрхийн товчооны зүүн талд Петровис ШТС-09</t>
  </si>
  <si>
    <t>00064</t>
  </si>
  <si>
    <t>F American Denj</t>
  </si>
  <si>
    <t>F Американ Дэнж</t>
  </si>
  <si>
    <t>БЗД, 4-р хороо, 15-р хороолол, Энхтайваны өргөн чөлөө, 8В байр /60 барилга/</t>
  </si>
  <si>
    <t>00065</t>
  </si>
  <si>
    <t>БЗД, 26-р хороо, 13312 Хүннү гудамж, 420/12 тоот</t>
  </si>
  <si>
    <t>00066</t>
  </si>
  <si>
    <t>Golden Park Khotkhon</t>
  </si>
  <si>
    <t>Голден Парк хотхон</t>
  </si>
  <si>
    <t>БГД, 4-р хороо, Голден Парк хотхон /16010/, Энхтайваны өргөн чөлөө, 104 байрны 7 тоот</t>
  </si>
  <si>
    <t>00067</t>
  </si>
  <si>
    <t>115 school</t>
  </si>
  <si>
    <t>Юү Би Таун 2</t>
  </si>
  <si>
    <t>ХУД, 15-р хороо, Үйлдвэр туул гол гудамж, 49 байр, 101 тоот</t>
  </si>
  <si>
    <t>00068</t>
  </si>
  <si>
    <t>KHSUT</t>
  </si>
  <si>
    <t>ХСҮТ</t>
  </si>
  <si>
    <t>БЗД, 18-р хороо, Намяанжу гудамж, ХСҮТ, А корпус, 1 давхарын цайны газар</t>
  </si>
  <si>
    <t>00069</t>
  </si>
  <si>
    <t>Nogoon tugul Khotkhon</t>
  </si>
  <si>
    <t>Ногоон Төгөл хотхон</t>
  </si>
  <si>
    <t>БЗД, 25-р хороо, 13-р хороолол /13371/, Намьяанжу гудамж, 75 байр, 2 тоот</t>
  </si>
  <si>
    <t>00070</t>
  </si>
  <si>
    <t>Altai Khotkhon</t>
  </si>
  <si>
    <t>Алтай хотхон</t>
  </si>
  <si>
    <t>БГД, 1-р хороо, Хос өргөө 2 хотхон /16030/ Энгельс гудамж, 22 байр, 3 тоот</t>
  </si>
  <si>
    <t>00071</t>
  </si>
  <si>
    <t>Shine yarmag</t>
  </si>
  <si>
    <t>Шинэ Яармаг</t>
  </si>
  <si>
    <t>ХУД, 17101, 8-р хороо, Өлзийтийн зам гудамж, Шинэ Яармаг хороолол, 732</t>
  </si>
  <si>
    <t>00072</t>
  </si>
  <si>
    <t>Park Place</t>
  </si>
  <si>
    <t>Парк Плэйс</t>
  </si>
  <si>
    <t>СБД, 1-р хороо, Соёл амралтын /14241/ Чингисийн өргөн чөлөө гудамж, 24 дугаартай барилгын 104 тоот</t>
  </si>
  <si>
    <t>00073</t>
  </si>
  <si>
    <t>Opitser Town</t>
  </si>
  <si>
    <t>Офицер Таун</t>
  </si>
  <si>
    <t>БЗД, 16-р хороо, 16-р хороолол /13321/, Улаанхуаран гудамж, 19в байр, 1-р давхар, д7 тоот</t>
  </si>
  <si>
    <t>00074</t>
  </si>
  <si>
    <t>3-r emneleg</t>
  </si>
  <si>
    <t>3-р эмнэлэг</t>
  </si>
  <si>
    <t>БГД, 6-р хороо, Ард-Аюушийн өргөн чөлөө, П.Н.Шастины нэрэмжит Улсын гуравдугаар төв эмнэлэг</t>
  </si>
  <si>
    <t>00075</t>
  </si>
  <si>
    <t>Nogoon Nuur</t>
  </si>
  <si>
    <t>Ногоон Нуур</t>
  </si>
  <si>
    <t>СБД, 9-р хороо, 7-р хороолол, /14181/, Алтайн гудамж, 31А байрны 1 давхар</t>
  </si>
  <si>
    <t>00076</t>
  </si>
  <si>
    <t>F River Garden</t>
  </si>
  <si>
    <t>F Ривер Гарден</t>
  </si>
  <si>
    <t>ХУД, 11-р хороо, Их Монгол улсын гудамж, Ривер Гарден хотхон, 401-407 байрны хүзүүвч 104, 105 тоот</t>
  </si>
  <si>
    <t>00077</t>
  </si>
  <si>
    <t>F Park Od</t>
  </si>
  <si>
    <t>F Парк Од</t>
  </si>
  <si>
    <t>БЗД, 26-р хороо, Парк од цогцолбор</t>
  </si>
  <si>
    <t>00078</t>
  </si>
  <si>
    <t>Bayanburd</t>
  </si>
  <si>
    <t>Баянбүрд</t>
  </si>
  <si>
    <t>ЧД, 6-р хороо, 6-р хороолол /15140/ Их тойруу гудамж 34 байр 2 тоот</t>
  </si>
  <si>
    <t>00079</t>
  </si>
  <si>
    <t>F Narnii khoroolol 2</t>
  </si>
  <si>
    <t>F Нарны хороолол 2</t>
  </si>
  <si>
    <t>БГД, 3-р хороо, Үйлдвэрийн төвийн бүс /16020/ Дунд гол гудамж, 19/2 тоот</t>
  </si>
  <si>
    <t>00080</t>
  </si>
  <si>
    <t>72r khotkhon</t>
  </si>
  <si>
    <t>72-р хотхон</t>
  </si>
  <si>
    <t>БЗД, 16-р хороо, 16-р хороолол /13321/, Дандарбаатар гудамж, 61 байр, 1-р давхарын үйлчилгээ</t>
  </si>
  <si>
    <t>00081</t>
  </si>
  <si>
    <t>King Tower</t>
  </si>
  <si>
    <t>Кинг Тауэр</t>
  </si>
  <si>
    <t>ХУД, 11-р хороо, Стадион оргил /17012/, Их Монгол улс гудамж, 122-р байр, 100/1 тоот</t>
  </si>
  <si>
    <t>00082</t>
  </si>
  <si>
    <t>Aman Khuur 2</t>
  </si>
  <si>
    <t>Аман Хуур 2</t>
  </si>
  <si>
    <t>БЗД, 14-р хороо, 14-р хороолол, Намъяанжугийн гудамж, 31В байр, 1 тоот</t>
  </si>
  <si>
    <t>00083</t>
  </si>
  <si>
    <t>KTMC</t>
  </si>
  <si>
    <t>КТМС</t>
  </si>
  <si>
    <t>БЗД, 2-р хороо, Хоршооллын хотхон /13361/ Б доржийн гудамж 12/5 байр, 2,3 тоот</t>
  </si>
  <si>
    <t>00084</t>
  </si>
  <si>
    <t>Buyant Ukhaa 2</t>
  </si>
  <si>
    <t>Буянт Ухаа 2</t>
  </si>
  <si>
    <t>ХУД, 10-р хороо, Буянт Ухаа /17121/ Өлзийтийн зам гудамж, 1023 тоот</t>
  </si>
  <si>
    <t>00085</t>
  </si>
  <si>
    <t>1-r turuh</t>
  </si>
  <si>
    <t>F 1-р төрөх</t>
  </si>
  <si>
    <t>СБД, 1-р хороо, 13-р хороолол, Энхтайвны өргөн чөлөө гудамж, 56-р байр</t>
  </si>
  <si>
    <t>00086</t>
  </si>
  <si>
    <t>F Barilga.mn</t>
  </si>
  <si>
    <t>F Барилга.мн</t>
  </si>
  <si>
    <t>БЗД, 6-р хороо, 13-р хороолол 13373 гудамж, 24/1 тоот</t>
  </si>
  <si>
    <t>00087</t>
  </si>
  <si>
    <t>NUBIA 1</t>
  </si>
  <si>
    <t>Сэргэлэн сум</t>
  </si>
  <si>
    <t>Төв аймаг, Сэргэлэн сум, Эрдэнэ-Уул /41090/, Тахилт толгой, 302 тоот</t>
  </si>
  <si>
    <t>00088</t>
  </si>
  <si>
    <t>NUBIA 2</t>
  </si>
  <si>
    <t>Төв аймаг, Сэргэлэн сум, Эрдэнэ-Уул /41090/, Тахилт толгой, 204 тоот</t>
  </si>
  <si>
    <t>00089</t>
  </si>
  <si>
    <t>Gutliin uildver</t>
  </si>
  <si>
    <t>Гутлын үйлдвэр</t>
  </si>
  <si>
    <t>ХУД, 2-р хороо, Петровис ШТС-18</t>
  </si>
  <si>
    <t>00090</t>
  </si>
  <si>
    <t>Material impex</t>
  </si>
  <si>
    <t>Материал импекс</t>
  </si>
  <si>
    <t>БГД, 4-р хороо, Петровис ШТС-28</t>
  </si>
  <si>
    <t>00091</t>
  </si>
  <si>
    <t>22-n tovchoo</t>
  </si>
  <si>
    <t>22-ын товчоо</t>
  </si>
  <si>
    <t>СХД, 32-р хороо, Петровис ШТС-21</t>
  </si>
  <si>
    <t>00092</t>
  </si>
  <si>
    <t>Tsagaan Khuaran</t>
  </si>
  <si>
    <t>Цагаан хуаран</t>
  </si>
  <si>
    <t>БЗД, 14-р хороо, 14-р хороолол /13334/, 87а байр, 0 тоот</t>
  </si>
  <si>
    <t>00093</t>
  </si>
  <si>
    <t>Shuniin zah</t>
  </si>
  <si>
    <t>Шөнийн зах</t>
  </si>
  <si>
    <t>БЗД, 14-р хороо, 14-р хороолол, Намъяанжугийн гудамж, 51-р байр, 0 болон 1-1 тоот</t>
  </si>
  <si>
    <t>00094</t>
  </si>
  <si>
    <t>Pro One office</t>
  </si>
  <si>
    <t>Про уан оффис</t>
  </si>
  <si>
    <t>СБД, 11-р хороо, Pro One оффис, 1 давхар</t>
  </si>
  <si>
    <t>00095</t>
  </si>
  <si>
    <t>Nutgiin buyan</t>
  </si>
  <si>
    <t>Нутгийн буян</t>
  </si>
  <si>
    <t>ХУД, 3-р хороо, 19-р хороолол /17032/, Б шарав гудамж, 37а байр, 102 тоот</t>
  </si>
  <si>
    <t>00096</t>
  </si>
  <si>
    <t>BZDiin emneleg</t>
  </si>
  <si>
    <t>БЗД-ийн эмнэлэг</t>
  </si>
  <si>
    <t>БЗД, 5-р хороо, 15-р хороолол /13342/, Энхтайваны өргөн чөлөө гудамж, 91а байр, Б тоот</t>
  </si>
  <si>
    <t>00097</t>
  </si>
  <si>
    <t>Khuulichdiin Gudamj</t>
  </si>
  <si>
    <t>Хуульчдын гудамж</t>
  </si>
  <si>
    <t>ЧД, 1-р хороо, Жуулчны гудамж, 3/2 тоот</t>
  </si>
  <si>
    <t>00098</t>
  </si>
  <si>
    <t>Stars tuv</t>
  </si>
  <si>
    <t>Старс төв</t>
  </si>
  <si>
    <t>БГД, 2-р хороо, Энхтайваны өргөн чөлөө, 51</t>
  </si>
  <si>
    <t>00099</t>
  </si>
  <si>
    <t>Shine Urgoo</t>
  </si>
  <si>
    <t>Шинэ Өргөө</t>
  </si>
  <si>
    <t>ХУД, 4-р хороо, Яармаг Наадамчдын зам гудамж, 617 байр, 21, 22 тоот</t>
  </si>
  <si>
    <t>00100</t>
  </si>
  <si>
    <t>Elizabet</t>
  </si>
  <si>
    <t>Элизабет</t>
  </si>
  <si>
    <t>Нийслэлийн Баянзүрх дүүргийн 26-р хороо, 13312 хүннүгийн гудамж, 214 байр, 1 давхарын S3, S4, S5 тоот</t>
  </si>
  <si>
    <t>00101</t>
  </si>
  <si>
    <t>F 19r khoroolol</t>
  </si>
  <si>
    <t>F 19-р хороолол</t>
  </si>
  <si>
    <t>ХУД, 2-р хороо, То ван гудамж, 54-р байр, 1 давхар</t>
  </si>
  <si>
    <t>00102</t>
  </si>
  <si>
    <t>Khanbogd khoroolol</t>
  </si>
  <si>
    <t>Ханбогд хороолол</t>
  </si>
  <si>
    <t>ХУД, 4-р хороо, Яармаг /17110/, Наадамчдын зам гудамж, 401-р байр, 1 давхар, 4 тоот</t>
  </si>
  <si>
    <t>00103</t>
  </si>
  <si>
    <t>Suvilakhuin surguuli</t>
  </si>
  <si>
    <t>Сувилахуйн сургууль</t>
  </si>
  <si>
    <t>БГД, 5-р хороо, 10-р хороолол, Энхтайваны өргөн чөлөө, 94-р байр</t>
  </si>
  <si>
    <t>00104</t>
  </si>
  <si>
    <t>F Ulaankhuaran</t>
  </si>
  <si>
    <t>F Улаанхуаран</t>
  </si>
  <si>
    <t>БЗД, 16-р хороо, Улаанхуаран /13300/ гудамж, 101 тоот</t>
  </si>
  <si>
    <t>00105</t>
  </si>
  <si>
    <t>F Narnii Guur</t>
  </si>
  <si>
    <t>F Нарны гүүр</t>
  </si>
  <si>
    <t>СБД, 5-р хороо, 5-р хороолол, /14253/, Сөүлийн гудамж, 54</t>
  </si>
  <si>
    <t>00106</t>
  </si>
  <si>
    <t>Premium Ulaanbaatar</t>
  </si>
  <si>
    <t>Премиум Улаанбаатар</t>
  </si>
  <si>
    <t>БГД, 1-р хороо, Тээвэрчид гудамж, Премиум Улаанбаатар, 1 давхар</t>
  </si>
  <si>
    <t>00107</t>
  </si>
  <si>
    <t>Mungun zaviya</t>
  </si>
  <si>
    <t>Мөнгөн завъяа</t>
  </si>
  <si>
    <t>ЧД, 1-р хороо, 1-р 40 мянгатын 5-р байр, 1 тоот</t>
  </si>
  <si>
    <t>00108</t>
  </si>
  <si>
    <t>Khugjil khotkon</t>
  </si>
  <si>
    <t>Хөгжил хотхон</t>
  </si>
  <si>
    <t>БГД, 8-р хороо, Чингүүнжавын гудамж, 27/2 байрны 1 давхарт</t>
  </si>
  <si>
    <t>00109</t>
  </si>
  <si>
    <t>F Metro mall</t>
  </si>
  <si>
    <t>F Метро молл</t>
  </si>
  <si>
    <t>00110</t>
  </si>
  <si>
    <t>F BZD</t>
  </si>
  <si>
    <t>F БЗД</t>
  </si>
  <si>
    <t>БЗД, 13-р хороо, 14-р хороолол /13330/, Энхтайваны өргөн чөлөө гудамж, 95/1 байр, 1 давхар</t>
  </si>
  <si>
    <t>00111</t>
  </si>
  <si>
    <t>Nissora tower</t>
  </si>
  <si>
    <t>Нисора тауэр</t>
  </si>
  <si>
    <t>БЗД, 1-р хороо, 12-р хороолол /13380/, Токио гудамж, 6/1 байр, 1 давхар, 3 тоот</t>
  </si>
  <si>
    <t>00112</t>
  </si>
  <si>
    <t>X apartment</t>
  </si>
  <si>
    <t>Икс апартмент</t>
  </si>
  <si>
    <t>БЗД, 8-р хороо, Улаанхуаран /13302/, Энхтайваны өргөн чөлөө гудамж, 4 байр, в блок, 1 тоот</t>
  </si>
  <si>
    <t>00113</t>
  </si>
  <si>
    <t>F 100 ail UBEG</t>
  </si>
  <si>
    <t>F 100 айл УБЕГ</t>
  </si>
  <si>
    <t>СБД, 11-р хороо, цагдаагийн гудамж, 48 тоот</t>
  </si>
  <si>
    <t>00114</t>
  </si>
  <si>
    <t>GB center</t>
  </si>
  <si>
    <t>Жи Би центр</t>
  </si>
  <si>
    <t>СБД, 8-р хороо, 11-р хороолол, Бээжин гудамж, 37-р байр, 102 тоот</t>
  </si>
  <si>
    <t>00115</t>
  </si>
  <si>
    <t>F KHarhorin</t>
  </si>
  <si>
    <t>F Хархорин</t>
  </si>
  <si>
    <t>БГД, 20-р хороо, үйлдвэрийн баруун бүс /16100/, Москва гудамж, 55/12-р байр, 1 давхар тоот</t>
  </si>
  <si>
    <t>00116</t>
  </si>
  <si>
    <t>F Park garden</t>
  </si>
  <si>
    <t>F Парк гарден</t>
  </si>
  <si>
    <t>ХУД, 18-р хороо, Стадион оргил /17013/, Нийслэл хүрээ өргөн чөлөө гудамж, 26а байр, 1 давхар, 106 тоот</t>
  </si>
  <si>
    <t>00117</t>
  </si>
  <si>
    <t>F SHD</t>
  </si>
  <si>
    <t>F СХД</t>
  </si>
  <si>
    <t>СХД, 27-р хороо, 21 дүгээр хороолол /18082/, 39-р байр, 1 давхар</t>
  </si>
  <si>
    <t>00118</t>
  </si>
  <si>
    <t>F 6-r Bichil</t>
  </si>
  <si>
    <t>F 6-р Бичил</t>
  </si>
  <si>
    <t>БГД, 12-р хороо, 4-р хороолол, Хасбаатар гудамж, 6/6 байр тоот</t>
  </si>
  <si>
    <t>00119</t>
  </si>
  <si>
    <t>TTAXHE</t>
  </si>
  <si>
    <t>ТТАХНЭ</t>
  </si>
  <si>
    <t>ЧД, 4-р хороо, Төрийн тусгай албан хаагчдын нэгдсэн эмнэлэгийн А, Б блокын хооронд</t>
  </si>
  <si>
    <t>00120</t>
  </si>
  <si>
    <t>Elchingiin gudamj</t>
  </si>
  <si>
    <t>Элчингийн гудамж</t>
  </si>
  <si>
    <t>СБД, 1-р хороо, Энхтайваны өргөн чөлөө, 15/2 тоот</t>
  </si>
  <si>
    <t>00121</t>
  </si>
  <si>
    <t>Premium palace</t>
  </si>
  <si>
    <t>F Премиум палас</t>
  </si>
  <si>
    <t>ЧД, 5-р хороо, Тасганы овоо /15150/, Их тойруу гудамж, 21-р байр, B1, B2, 1 давхар</t>
  </si>
  <si>
    <t>00122</t>
  </si>
  <si>
    <t>Shine muruudul khotkhon</t>
  </si>
  <si>
    <t>Шинэ мөрөөдөл хотхон</t>
  </si>
  <si>
    <t>ХУД, 15-р хороо, Шинэ мөрөөдөл Туул гол гудамж, 24/2 байр, 1 давхар, 2 тоот</t>
  </si>
  <si>
    <t>00123</t>
  </si>
  <si>
    <t>ХУД, 11-р хороо, Будда виста /17023/ Зайсан гудамж, 805 байр, 1-р давхрын 10, 11 тоот</t>
  </si>
  <si>
    <t>00124</t>
  </si>
  <si>
    <t>Luna plaza</t>
  </si>
  <si>
    <t>Луна плаза</t>
  </si>
  <si>
    <t>БГД, 4-р хороо, 2-р хороолол Энхтайвны өргөн чөлөө гудамж, 66 тоот барилгын 1 давхар</t>
  </si>
  <si>
    <t>00125</t>
  </si>
  <si>
    <t>Soyombo tower</t>
  </si>
  <si>
    <t>Соёмбо тауэр</t>
  </si>
  <si>
    <t>СБД, 1-р хороо, Соёмбо тауэр, 1 давхар</t>
  </si>
  <si>
    <t>00126</t>
  </si>
  <si>
    <t>84-r surguuli</t>
  </si>
  <si>
    <t>84-р сургууль</t>
  </si>
  <si>
    <t>БЗД, 18-хороо, Шигтгээ 11-Б байр, 1 давхар</t>
  </si>
  <si>
    <t>00127</t>
  </si>
  <si>
    <t>F KHUD</t>
  </si>
  <si>
    <t>F ХУД</t>
  </si>
  <si>
    <t>ХУД, 3-р хороо, Шаравын гудамж, 31а тоот</t>
  </si>
  <si>
    <t>00128</t>
  </si>
  <si>
    <t>KHUSUT</t>
  </si>
  <si>
    <t>ХӨСҮТ хойд</t>
  </si>
  <si>
    <t>БЗД, 14-р хороо, Энхтайвны өргөн чөлөө гудамж, 48-р байр, 1 давхар, D тоот</t>
  </si>
  <si>
    <t>00129</t>
  </si>
  <si>
    <t>Amariin gudamj</t>
  </si>
  <si>
    <t>Амарын гудамж</t>
  </si>
  <si>
    <t>СБД, 8-р хороо, Улаанбаатар зочид буудлын 64 айлын орон сууцны 1 давхрын 59 тоот</t>
  </si>
  <si>
    <t>00130</t>
  </si>
  <si>
    <t>F Darkhan nekhii</t>
  </si>
  <si>
    <t>F Дархан нэхий</t>
  </si>
  <si>
    <t>БГД, 9-р хороо, 3-р хороолол, Хасбаатарын гудамжийн, 8</t>
  </si>
  <si>
    <t>00131</t>
  </si>
  <si>
    <t>Ulziitiin zam</t>
  </si>
  <si>
    <t>Өлзийтийн зам</t>
  </si>
  <si>
    <t>ХУД, 21-р хороо, Amgun төвийн 1 давхар, /Архивын ерөнхий газрын урд/</t>
  </si>
  <si>
    <t>00132</t>
  </si>
  <si>
    <t>Time square</t>
  </si>
  <si>
    <t>Тайм скүэр</t>
  </si>
  <si>
    <t>ХУД, 11-р хороо, Их Монгол улсын гудамж, Тайм Скүэр хотхон, 507-р байрны, 101 тоот</t>
  </si>
  <si>
    <t>00133</t>
  </si>
  <si>
    <t>Sansariin toirog</t>
  </si>
  <si>
    <t>Сансарын тойрог</t>
  </si>
  <si>
    <t>БЗД, 1-р хороо, Астра плазагийн зүүн талын барилгын 1 давхар</t>
  </si>
  <si>
    <t>00134</t>
  </si>
  <si>
    <t>Food city</t>
  </si>
  <si>
    <t>Фүүд сити</t>
  </si>
  <si>
    <t>ХУД, 4-р хороо, Фүүд сити худалдааны төв</t>
  </si>
  <si>
    <t>00135</t>
  </si>
  <si>
    <t>Nomun villaj</t>
  </si>
  <si>
    <t>Номун виллаж</t>
  </si>
  <si>
    <t>ХУД, 11-р хороо, Зайсан ар зайсан гудамж, Номун виллаж, 100/6 байр, 2 тоот</t>
  </si>
  <si>
    <t>00136</t>
  </si>
  <si>
    <t>F Blue gem</t>
  </si>
  <si>
    <t>F Блью жем</t>
  </si>
  <si>
    <t>БГД, 6-р хороо, 10-р хороолол, Чингүнжавын гудамж, Блью жем цогцолборын 1 давхар</t>
  </si>
  <si>
    <t>00137</t>
  </si>
  <si>
    <t>F Royal plaza</t>
  </si>
  <si>
    <t>F Рояал Плаза</t>
  </si>
  <si>
    <t>СБД, 3-р хороо, 5-р хороолол, Усны гудамж, 1 тоот</t>
  </si>
  <si>
    <t>00138</t>
  </si>
  <si>
    <t>Khangai khotkhon</t>
  </si>
  <si>
    <t>Хангай хотхон</t>
  </si>
  <si>
    <t>Сүхбаатар дүүрэг, 11-р хороо, Барилгачид 4 гудамж, 116 тоот</t>
  </si>
  <si>
    <t>00139</t>
  </si>
  <si>
    <t>F Millenium plaza</t>
  </si>
  <si>
    <t>F Миллениум плаза</t>
  </si>
  <si>
    <t>БЗД, 3-р хороо, 12-р хороолол /13381/ Токио гудамж, 21 тоот</t>
  </si>
  <si>
    <t>00140</t>
  </si>
  <si>
    <t>F Peace town</t>
  </si>
  <si>
    <t>F Пийс таун</t>
  </si>
  <si>
    <t>ХУД, 3-р хороо, 17060 Үйлдвэрийн гудамж, 33/1 тоот</t>
  </si>
  <si>
    <t>00141</t>
  </si>
  <si>
    <t>SKHDEMT</t>
  </si>
  <si>
    <t>СХДЭМТ</t>
  </si>
  <si>
    <t>СХД, 13-р хороо, Сонгинохайрхан дүүргийн эрүүл мэндийн төвийн 1 давхарт</t>
  </si>
  <si>
    <t>00142</t>
  </si>
  <si>
    <t>БЗД, 19-р хороо, Цайз /13291/, Да хүрээ гудамж, 39/4 тоот</t>
  </si>
  <si>
    <t>00143</t>
  </si>
  <si>
    <t>143. Tedy 2</t>
  </si>
  <si>
    <t>Тэди 2</t>
  </si>
  <si>
    <t>БГД, 14-р хороо, 4-р хороолол, Энэбишийн өргөн чөлөө, 3/9 тоот</t>
  </si>
  <si>
    <t>00144</t>
  </si>
  <si>
    <t>F Khailaast</t>
  </si>
  <si>
    <t>F Хайлааст</t>
  </si>
  <si>
    <t>ЧД, 15-р хороо, Жаргалантын 10 гудамж, 263б тоот</t>
  </si>
  <si>
    <t>00145</t>
  </si>
  <si>
    <t>Saruul khoroolol</t>
  </si>
  <si>
    <t>Саруул хороолол</t>
  </si>
  <si>
    <t>БЗД, 26-р хороо, Саруул хороолол /13311/, Хүннү гудамж, 114 байр, 1 давхрын V№108</t>
  </si>
  <si>
    <t>00146</t>
  </si>
  <si>
    <t>Grace tuv</t>
  </si>
  <si>
    <t>Грейс төв</t>
  </si>
  <si>
    <t>БГД, 3-р хороо, 2-р хороолол, /16051/, Хатанбаатар Магсаржав гудамж, 59-р байр, 1 давхар</t>
  </si>
  <si>
    <t>00147</t>
  </si>
  <si>
    <t>Zaisan apartment</t>
  </si>
  <si>
    <t>Зайсан апартмент</t>
  </si>
  <si>
    <t>ХУД, 2-р хороо, Үйлдвэр /17042/, 105 байр, 102 тоот</t>
  </si>
  <si>
    <t>00148</t>
  </si>
  <si>
    <t>Narkhan khotkhon</t>
  </si>
  <si>
    <t>Нархан хотхон</t>
  </si>
  <si>
    <t>ХУД, 15-р хороо, Нархан хотхон /17011/, Махатма Гандигийн гудамж, 61-р байр, 30 тоот</t>
  </si>
  <si>
    <t>00149</t>
  </si>
  <si>
    <t>Doloon buudal</t>
  </si>
  <si>
    <t>Долоон буудал</t>
  </si>
  <si>
    <t>СБД, 14-р хороо, Чингэлтэйн өргөн чөлөө гудамж, 99в тоот</t>
  </si>
  <si>
    <t>00150</t>
  </si>
  <si>
    <t>UB tower</t>
  </si>
  <si>
    <t>Юү Би тауэр</t>
  </si>
  <si>
    <t>БЗД, 25-р хороо, Манлайбаатар Дамдинсүрэнгийн гудамж, Юү Би тауэр плас оффисын 102 тоот</t>
  </si>
  <si>
    <t>00151</t>
  </si>
  <si>
    <t>21 khoroolol</t>
  </si>
  <si>
    <t>F 21-р хороолол</t>
  </si>
  <si>
    <t>СХД, 19-р хороо, 21-р хороолол, 18081, Толгойт гудамж, 33 тоот</t>
  </si>
  <si>
    <t>00152</t>
  </si>
  <si>
    <t>Happy town</t>
  </si>
  <si>
    <t>Хаппи таун</t>
  </si>
  <si>
    <t>БЗД, 5-р хороо, 15-р хороолол /13342/, Г.Лувсанцэвээн гудамж, 71б байр, 3 тоот</t>
  </si>
  <si>
    <t>00153</t>
  </si>
  <si>
    <t>Ih zasag</t>
  </si>
  <si>
    <t>Их засаг</t>
  </si>
  <si>
    <t>БЗД, 4-р хороо, Доржийн гудамж, 21 тоот</t>
  </si>
  <si>
    <t>00154</t>
  </si>
  <si>
    <t>F Sansriin tunnel</t>
  </si>
  <si>
    <t>F Сансарын туннел</t>
  </si>
  <si>
    <t>БЗД, 1-р хороо, Залуучуудын өргөн чөлөө, 8 тоот</t>
  </si>
  <si>
    <t>00155</t>
  </si>
  <si>
    <t>BGD 17-r khoroo</t>
  </si>
  <si>
    <t>БГД 17-р хороо</t>
  </si>
  <si>
    <t>БГД, 17-р хороо, 4-р хороолол, Амарсанаа гудамж, 28/3 байр, 1-р давхар</t>
  </si>
  <si>
    <t>00156</t>
  </si>
  <si>
    <t>Khuree deed</t>
  </si>
  <si>
    <t>Хүрээ дээд сургууль</t>
  </si>
  <si>
    <t>БГД, 15-р хороо, Хасбаатарын гудамж, 32б байр, 1 тоот</t>
  </si>
  <si>
    <t>00157</t>
  </si>
  <si>
    <t>A-uils khotkhon</t>
  </si>
  <si>
    <t>А -Үйлс хотхон</t>
  </si>
  <si>
    <t>БЗД, 25-р хороо, 13-р хороолол /13372/, Нарны зам 147 байр, 1 тоот</t>
  </si>
  <si>
    <t>00158</t>
  </si>
  <si>
    <t>Hunnu palace</t>
  </si>
  <si>
    <t>Хүннү плас</t>
  </si>
  <si>
    <t>ХУД, 18-р хороо, Хүннү плас хотхон, 1 давхрын 5 тоот</t>
  </si>
  <si>
    <t>00159</t>
  </si>
  <si>
    <t>Japan town</t>
  </si>
  <si>
    <t>Жапан таун</t>
  </si>
  <si>
    <t>ХУД, 15-р хороо, Стадион оргил /17013/, Их Монгол улсын гудамж, 5-р байр, 1 давхар, 2-С-2 тоот</t>
  </si>
  <si>
    <t>00160</t>
  </si>
  <si>
    <t>Mongol khotkhon</t>
  </si>
  <si>
    <t>Монгол хотхон</t>
  </si>
  <si>
    <t>БЗД, 16-р хороо, 16-р хороолол /13320/, Да Хүрээ гудамж, 66е байр, 1 давхар</t>
  </si>
  <si>
    <t>00161</t>
  </si>
  <si>
    <t>RTSNK</t>
  </si>
  <si>
    <t>РЦНК</t>
  </si>
  <si>
    <t>БЗД, 1-р хороо, 12-р хороолол /13380/, Токио гудамж, 43 байр, 1 давхар</t>
  </si>
  <si>
    <t>00162</t>
  </si>
  <si>
    <t>Bum khudaldaanii tuv</t>
  </si>
  <si>
    <t>Бум худалдааны төв</t>
  </si>
  <si>
    <t>ХУД, 10-р хороо, Буянт Ухаа хороолол /17121/ Наадамчдын зам гудамж, 205 байр, 1 давхар, 95,96 тоот</t>
  </si>
  <si>
    <t>00163</t>
  </si>
  <si>
    <t>Astro park</t>
  </si>
  <si>
    <t>Астро Парк</t>
  </si>
  <si>
    <t>БЗД, 5-р хороо, Маахуур 1 гудамж, 15б байр, 1 давхар</t>
  </si>
  <si>
    <t>00164</t>
  </si>
  <si>
    <t>DKHIS</t>
  </si>
  <si>
    <t>ДХИС</t>
  </si>
  <si>
    <t>БЗД, 8-р хороо, Хилчний гудамж, ДХИС</t>
  </si>
  <si>
    <t>00165</t>
  </si>
  <si>
    <t>Zuragtiin zam</t>
  </si>
  <si>
    <t>Зурагтын зам</t>
  </si>
  <si>
    <t>ЧД, 7-р хороо, Хувьсгалчдын Г дүгээр гудамжны 522 тоот</t>
  </si>
  <si>
    <t>00166</t>
  </si>
  <si>
    <t>Suvdan sondor khotkhon</t>
  </si>
  <si>
    <t>Сувдан сондор хотхон</t>
  </si>
  <si>
    <t>БЗД, 14-р хороо, 14 хороолол /13335/ Энхтайваны өргөн чөлөө гудамж, 71а байр, 1-Б тоот</t>
  </si>
  <si>
    <t>00167</t>
  </si>
  <si>
    <t>Avto plaza 2</t>
  </si>
  <si>
    <t>Авто плаза 2</t>
  </si>
  <si>
    <t>БГД, 19-р хороо, Өргөө кино театрын урд Петровис ШТС-14</t>
  </si>
  <si>
    <t>00168</t>
  </si>
  <si>
    <t>Tasganii ovoo</t>
  </si>
  <si>
    <t>Тасганы овоо</t>
  </si>
  <si>
    <t>ЧД, 5-р хороо, Тасганы овоо, Петровис ШТС-04</t>
  </si>
  <si>
    <t>00169</t>
  </si>
  <si>
    <t>Sansriin klonk</t>
  </si>
  <si>
    <t>Сансарын колонк</t>
  </si>
  <si>
    <t>БЗД, 1-р хороо, Сансарын Петровис ШТС-25</t>
  </si>
  <si>
    <t>00170</t>
  </si>
  <si>
    <t>Zuun durvun zam</t>
  </si>
  <si>
    <t>Зүүн дөрвөн зам</t>
  </si>
  <si>
    <t>БЗД, 14-р хороо, Зүүн дөрвөн замын Петровис ШТС-03</t>
  </si>
  <si>
    <t>00171</t>
  </si>
  <si>
    <t>Gurvan erdene</t>
  </si>
  <si>
    <t>Гурван эрдэнэ</t>
  </si>
  <si>
    <t>СБД, 8-р хороо, 11-р хороолол /14192/, Ж.Батмөнхийн гудамж, 39/1 байр, 1 давхар</t>
  </si>
  <si>
    <t>00172</t>
  </si>
  <si>
    <t>Chingunjaviin gudamj K4</t>
  </si>
  <si>
    <t>Чингүнжавын гудамж</t>
  </si>
  <si>
    <t>БГД, 8-р хороо, Чингүнжавын гудамж, K4 апартмент, 1 давхарт</t>
  </si>
  <si>
    <t>00173</t>
  </si>
  <si>
    <t>F Sats zochid buudal</t>
  </si>
  <si>
    <t>F САЦ зочид буудал</t>
  </si>
  <si>
    <t>00174</t>
  </si>
  <si>
    <t>Euro Town</t>
  </si>
  <si>
    <t>Евро таун</t>
  </si>
  <si>
    <t>ХУД, 21-р хороо, Буянт-Ухаа хороолол /17121/, Наадамчдын зам гудамж 263 байр, 2 тоот</t>
  </si>
  <si>
    <t>00175</t>
  </si>
  <si>
    <t>Soyombot Uul</t>
  </si>
  <si>
    <t>Соёмбот уул</t>
  </si>
  <si>
    <t>ХУД, 11-р хороо, Зайсан-Соёмбот уулын хормой, Mountain Garden 1 хотхон, 51-р байр, 1 давхар</t>
  </si>
  <si>
    <t>00176</t>
  </si>
  <si>
    <t>Dulguun nuur</t>
  </si>
  <si>
    <t>Дөлгөөн нуур</t>
  </si>
  <si>
    <t>СБД, 9-р хороо, Алтайн гудамж, 456а тоот</t>
  </si>
  <si>
    <t>00177</t>
  </si>
  <si>
    <t>Botanik</t>
  </si>
  <si>
    <t>Ботаник</t>
  </si>
  <si>
    <t>БЗД, 12-р хороо, Ботаникийн гудамж, Ботаник центр цогцолборын 1 давхар</t>
  </si>
  <si>
    <t>00178</t>
  </si>
  <si>
    <t>F Comfort khotkhon</t>
  </si>
  <si>
    <t>F Комфорт хотхон</t>
  </si>
  <si>
    <t>БЗД, 8-р хороо, Улаанхуаран 11 гудамж, 276 тоот</t>
  </si>
  <si>
    <t>00179</t>
  </si>
  <si>
    <t>Moscow khoroolol</t>
  </si>
  <si>
    <t>Москва хороолол</t>
  </si>
  <si>
    <t>СХД, 8-р хороо, Москва хороолол, 131/2-р байр, 48, 49, 50 тоот</t>
  </si>
  <si>
    <t>00180</t>
  </si>
  <si>
    <t>Mandala khotkhon</t>
  </si>
  <si>
    <t>Мандала хотхон</t>
  </si>
  <si>
    <t>БЗД, 26-р хороо, /13312/, Нийслэл хүрээ өргөн чөлөө гудамж, 320/4 байр, 1 давхрын 2 тоот</t>
  </si>
  <si>
    <t>00181</t>
  </si>
  <si>
    <t>Enkhjin khudaldaanii tuv</t>
  </si>
  <si>
    <t>Энхжин худалдааны төв</t>
  </si>
  <si>
    <t>СХД, 20-р хороо, Энхтайваны өргөн чөлөөний гудамж, 173 тоот</t>
  </si>
  <si>
    <t>00182</t>
  </si>
  <si>
    <t>F Mongol news</t>
  </si>
  <si>
    <t>F Монгол ньюс</t>
  </si>
  <si>
    <t>ЧД, 3-р хороо 40, 50 мянгат Жуулчны гудамж 40, 40/1, 40/2 тоот</t>
  </si>
  <si>
    <t>00183</t>
  </si>
  <si>
    <t>Astra place</t>
  </si>
  <si>
    <t>Астра Плэйс</t>
  </si>
  <si>
    <t>ХУД, 11-р хороо, Стадион оргил /17012/, Зайсан гудамж, 68/2 байр, 1 тоот</t>
  </si>
  <si>
    <t>00184</t>
  </si>
  <si>
    <t>Udirdlagiin academy</t>
  </si>
  <si>
    <t>Удирдлагын академи</t>
  </si>
  <si>
    <t>ХУД, 11-р хороо, 6-р хэсэг, 69 байр, 40 тоот</t>
  </si>
  <si>
    <t>00185</t>
  </si>
  <si>
    <t>Baruun durvun zamiin hoid</t>
  </si>
  <si>
    <t>Баруун 4 замын хойд</t>
  </si>
  <si>
    <t>ЧД, 2-р хороо, 40 50 мянгат /15172/, Их тойруу гудамж 21/2 байрны 1 давхар</t>
  </si>
  <si>
    <t>00186</t>
  </si>
  <si>
    <t>Darkhan minj</t>
  </si>
  <si>
    <t>Дархан минж</t>
  </si>
  <si>
    <t>БЗД, 18-р хороо, 13-р хороолол /13370/, Манлайбаатар дамдинсүрэнгийн гудамж, 27/3 байр, 1 тоот</t>
  </si>
  <si>
    <t>00187</t>
  </si>
  <si>
    <t>F Jukov khudaldaanii tuv</t>
  </si>
  <si>
    <t>F Жуков худалдааны төв</t>
  </si>
  <si>
    <t>БЗД, 4-р хороо, 15-р хороолол /13343/, Хилчдийн гудамж, 26-ийн 1-р давхар</t>
  </si>
  <si>
    <t>00188</t>
  </si>
  <si>
    <t>Akhui uilchilgeenii tuv</t>
  </si>
  <si>
    <t>Ахуй үйлчилгээний төв</t>
  </si>
  <si>
    <t>БЗД, 7-р хороо, 15-р хороолол, Ахуй үйлчилгээний төвийн 1 давхар</t>
  </si>
  <si>
    <t>00189</t>
  </si>
  <si>
    <t>F Sportiin ordon</t>
  </si>
  <si>
    <t>F Спортын ордон</t>
  </si>
  <si>
    <t>СБД, 8-р хороо, Улаанбаатар зочид буудал, 64 байр, 15 тоот</t>
  </si>
  <si>
    <t>00190</t>
  </si>
  <si>
    <t>Amarsanaagiin gudamj</t>
  </si>
  <si>
    <t>Амарсанаагийн гудамж</t>
  </si>
  <si>
    <t>БГД, 17-р хороо, 4-р хорооллын, 36И байр, 3 тоот</t>
  </si>
  <si>
    <t>00191</t>
  </si>
  <si>
    <t>Khoroolol</t>
  </si>
  <si>
    <t>Хороолол</t>
  </si>
  <si>
    <t>БГД, 15-р хороо, 4-р хороолол /16062/, Л.Энэбишийн өргөн чөлөө гудамж, 5/5 тоот</t>
  </si>
  <si>
    <t>00192</t>
  </si>
  <si>
    <t>Gurvan Gal</t>
  </si>
  <si>
    <t>Гурван гал</t>
  </si>
  <si>
    <t>СБД, 1-р хороо, Гурван гал худалдааны төвийн баруун урд байрлалтай барилгын 1 давхарт</t>
  </si>
  <si>
    <t>00193</t>
  </si>
  <si>
    <t>F MN Tower</t>
  </si>
  <si>
    <t>F МН Тауэр</t>
  </si>
  <si>
    <t>ЧД, 5-р хороо, Эрх чөлөөний гудамж, МН Тауэр барилгын 1 давхар, 104 тоот</t>
  </si>
  <si>
    <t>00194</t>
  </si>
  <si>
    <t>Urgoo 2</t>
  </si>
  <si>
    <t>Өргөө 2</t>
  </si>
  <si>
    <t>СБД, 8-р хороо, Амарын гудамж, Мэдээлэл технологийн үндэсний паркын хойд жигүүр, Өргөө 2 синема</t>
  </si>
  <si>
    <t>00195</t>
  </si>
  <si>
    <t>F Dragon</t>
  </si>
  <si>
    <t>F Драгон</t>
  </si>
  <si>
    <t>СХД, 18-р хороо, Москва хороолол /18070/, Москвагийн гудамж, 157 тоот</t>
  </si>
  <si>
    <t>00196</t>
  </si>
  <si>
    <t>F Vokzal</t>
  </si>
  <si>
    <t>F Вокзал</t>
  </si>
  <si>
    <t>БГД, 1-р хороо, 16010, Нарны зам гудамжны 67/1 тоот</t>
  </si>
  <si>
    <t>00197</t>
  </si>
  <si>
    <t>Peacemall 2</t>
  </si>
  <si>
    <t>Пийс молл 2</t>
  </si>
  <si>
    <t>ЧД, 3-р хороо, 50 мянгат гудамж, 15-р байр, 27 тоот</t>
  </si>
  <si>
    <t>00198</t>
  </si>
  <si>
    <t>Canyon</t>
  </si>
  <si>
    <t>Канион төв</t>
  </si>
  <si>
    <t>СБД, 8-р хороо, Ж.Самбуугийн гудамж, 32/1, Канион төв</t>
  </si>
  <si>
    <t>00199</t>
  </si>
  <si>
    <t>Roma</t>
  </si>
  <si>
    <t>Рома таун</t>
  </si>
  <si>
    <t>ХУД, 11-р хороо, Зайсан /17020/ь Зайсангийн тойруу гудамж, 40/2 байрны 1 давхарт 101 тоот</t>
  </si>
  <si>
    <t>00200</t>
  </si>
  <si>
    <t>Buynt Uhaa 1</t>
  </si>
  <si>
    <t>Буянт Ухаа 1</t>
  </si>
  <si>
    <t>ХУД, 16-р хороо, Буянт ухаа 801 байр, 1 давхар, 3а тоот</t>
  </si>
  <si>
    <t>00201</t>
  </si>
  <si>
    <t>Saruul tenger</t>
  </si>
  <si>
    <t>Саруул тэнгэр</t>
  </si>
  <si>
    <t>БЗД, 16-р хороо, 16-р хороолол /13321/, Да хүрээ гудамж, 45-р байр, 9 тоот</t>
  </si>
  <si>
    <t>00202</t>
  </si>
  <si>
    <t>Golomt Khotkhon</t>
  </si>
  <si>
    <t>Голомт хотхон</t>
  </si>
  <si>
    <t>СБД, 5-р хороо, Үндсэн хуулийн гудамж 2 байр, 1 давхар тоот</t>
  </si>
  <si>
    <t>00203</t>
  </si>
  <si>
    <t>Ard</t>
  </si>
  <si>
    <t>Ард</t>
  </si>
  <si>
    <t>ЧД, 1-р хороо, 1-р дүгээр 40 мянгатын 23-р байрны 14 тоот</t>
  </si>
  <si>
    <t>00204</t>
  </si>
  <si>
    <t>Nekhmel Khotkhon</t>
  </si>
  <si>
    <t>Нэхмэл хотхон</t>
  </si>
  <si>
    <t>ХУД, 2-р хороо, Чингисийн өргөн чөлөө, Нэхмэл хотхон, 1 давхар</t>
  </si>
  <si>
    <t>00205</t>
  </si>
  <si>
    <t>Taliin bolor</t>
  </si>
  <si>
    <t>Талын болор</t>
  </si>
  <si>
    <t>БГД, 5-р хороо, 10-р хороолол /16081/, Энхтайваны өргөн чөлөө гудамж, 102-р байр, 1 давхар</t>
  </si>
  <si>
    <t>00206</t>
  </si>
  <si>
    <t>11th school</t>
  </si>
  <si>
    <t>11-р сургууль</t>
  </si>
  <si>
    <t>СБД, 5-р хороо, 50 мянгат, 28-р байр, 23 тоот</t>
  </si>
  <si>
    <t>00207</t>
  </si>
  <si>
    <t>Premium Apartment</t>
  </si>
  <si>
    <t>Премиум Апартмент</t>
  </si>
  <si>
    <t>БГД, 4-р хороо, 2-р хороолол, 9-р байр, 1 давхар, 2 тоот</t>
  </si>
  <si>
    <t>00208</t>
  </si>
  <si>
    <t>F Korea Town</t>
  </si>
  <si>
    <t>F Кореа таун</t>
  </si>
  <si>
    <t>БГД, 7-р хороо, 3-р хороолол /16093/, Дилав Хутагт Жамсранжавын гудамж, 48/1 тоот</t>
  </si>
  <si>
    <t>00209</t>
  </si>
  <si>
    <t>Buti Town</t>
  </si>
  <si>
    <t>Бүти таун</t>
  </si>
  <si>
    <t>ХУД, 15-р хороо, Бүти таун хотхоны 8-р блок, 106-р байр, 7-5 тоот</t>
  </si>
  <si>
    <t>00210</t>
  </si>
  <si>
    <t>Sukhbaatar District Hospital</t>
  </si>
  <si>
    <t>Сүхбаатар нэгдсэн эмнэлэг</t>
  </si>
  <si>
    <t>СБД, 11-р хороо, цагдаагийн гудамж, Сүхбаатар нэгдсэн эмнэлэг</t>
  </si>
  <si>
    <t>00211</t>
  </si>
  <si>
    <t>Park</t>
  </si>
  <si>
    <t>Парк</t>
  </si>
  <si>
    <t>СБД, 1-р хороо, Үндэсний соёл амралтын хүрээлэн дотор</t>
  </si>
  <si>
    <t>00212</t>
  </si>
  <si>
    <t>F Buyan nalaikh</t>
  </si>
  <si>
    <t>F Буян Налайх</t>
  </si>
  <si>
    <t>Налайх дүүрэг</t>
  </si>
  <si>
    <t>НД, 2-р хороо, Жаргалант /12190/, Уурхайчдын гудамж, 7</t>
  </si>
  <si>
    <t>00213</t>
  </si>
  <si>
    <t>Zamchid street</t>
  </si>
  <si>
    <t>Замчдын Гудамж</t>
  </si>
  <si>
    <t>БГД, 3-р хороо, 2-р хороолол, Замчид гудамж 8/2</t>
  </si>
  <si>
    <t>00214</t>
  </si>
  <si>
    <t>Sambuu street</t>
  </si>
  <si>
    <t>Самбуугийн гудамж</t>
  </si>
  <si>
    <t>Чингэлтэй дүүрэг, 4-р хороо, Бага тойруу, 9-р байр, 40 тоот</t>
  </si>
  <si>
    <t>00215</t>
  </si>
  <si>
    <t>F Eh nylhas</t>
  </si>
  <si>
    <t>F Эх нялхас</t>
  </si>
  <si>
    <t>БГД, 11-р хороо, Хасбаатарын гудамж, 27/А тоот</t>
  </si>
  <si>
    <t>00216</t>
  </si>
  <si>
    <t>Khoimor</t>
  </si>
  <si>
    <t>Хоймор</t>
  </si>
  <si>
    <t>Сүхбаатар дүүргийн 9-р хороо, 7-р хороолол /14182/, алтайн гудамж 281 дугаартай барилгын 103 тоот</t>
  </si>
  <si>
    <t>00217</t>
  </si>
  <si>
    <t>32 buudal</t>
  </si>
  <si>
    <t>32-н буудал</t>
  </si>
  <si>
    <t>СХД, 17-р хороо, 1-р хороолол /18032/, Москвагийн гудамж 49 тоот</t>
  </si>
  <si>
    <t>00218</t>
  </si>
  <si>
    <t>1th Hospital</t>
  </si>
  <si>
    <t>Улсын 1-р Төв Эмнэлэг</t>
  </si>
  <si>
    <t>СБД, 1-р хороо, С.Зоригийн гудамж-2, Улсын Нэгдүгээр Төв Эмнэлэг</t>
  </si>
  <si>
    <t>00219</t>
  </si>
  <si>
    <t>F 10 khoroolol 2</t>
  </si>
  <si>
    <t>F 10-р хороолол 2</t>
  </si>
  <si>
    <t>БГД, 6-р хороо, Энхтайваны өргөн чөлөө гудамж, 77тоот</t>
  </si>
  <si>
    <t>00220</t>
  </si>
  <si>
    <t>Gandan</t>
  </si>
  <si>
    <t>Гандан</t>
  </si>
  <si>
    <t>БГД 16-р хороо Өндөр гэгээн занабазар гудамж 10/2</t>
  </si>
  <si>
    <t>00221</t>
  </si>
  <si>
    <t>Namuun Hotel</t>
  </si>
  <si>
    <t>Намуун зочид буудал</t>
  </si>
  <si>
    <t>БГД, 18-р хороо, 4-р хороолол /16067/, Жалханц хутагт Дамдинбазар гудамж, 38 тоот</t>
  </si>
  <si>
    <t>00222</t>
  </si>
  <si>
    <t>City center</t>
  </si>
  <si>
    <t>Сити центр</t>
  </si>
  <si>
    <t>Сүхбаатар дүүргийн 8-р хороо, Бага тойруу /14200/ Б.Алтангэрэлийн гудамж, 5 дугаартай барилгын 2 тоот тоот</t>
  </si>
  <si>
    <t>00223</t>
  </si>
  <si>
    <t>Ereliin 40</t>
  </si>
  <si>
    <t>Эрэлийн 40</t>
  </si>
  <si>
    <t>Баянзүрх дүүргийн 6 дугаар хороо, 13 дугаар хороолол Э/40 дүгээр байрны 3 дугаар орцны, 1 дүгээр давхарын “Б” хэсэг</t>
  </si>
  <si>
    <t>00224</t>
  </si>
  <si>
    <t>Khunsnii 50</t>
  </si>
  <si>
    <t>Хүнсний 50</t>
  </si>
  <si>
    <t>СБД, 4-р хороо, Сөүлийн гудамж, 13-р байр</t>
  </si>
  <si>
    <t>00225</t>
  </si>
  <si>
    <t>Shar Ordon</t>
  </si>
  <si>
    <t>Шар Ордон</t>
  </si>
  <si>
    <t>БГД, 16-р хороо Туул 2</t>
  </si>
  <si>
    <t>00226</t>
  </si>
  <si>
    <t>Shadivlan</t>
  </si>
  <si>
    <t>Шадивлан</t>
  </si>
  <si>
    <t>ЧД, 19-р хороо, Шадивлан- 1, /15020/, 6 хэсэг гудамж, 661 тоот</t>
  </si>
  <si>
    <t>00227</t>
  </si>
  <si>
    <t>50 thousand</t>
  </si>
  <si>
    <t>50 мянгат</t>
  </si>
  <si>
    <t>Сүхбаатар дүүрэг, 4-р хороо, 50 мянгатын 20-р байр, 60 тоот</t>
  </si>
  <si>
    <t>00228</t>
  </si>
  <si>
    <t>Garden city</t>
  </si>
  <si>
    <t>Гарден сити</t>
  </si>
  <si>
    <t>ХУД, 4-р хороо, “Гарден Сити 2” хотхоны 1401, 1402 байрны хүзүүвчний барилгын 7, 8 тоот</t>
  </si>
  <si>
    <t>00229</t>
  </si>
  <si>
    <t>Cedar City</t>
  </si>
  <si>
    <t>Седар сити</t>
  </si>
  <si>
    <t>ХУД, 4-р хороо, “Сидар Сити” хотхон, 1269 байр, 1-р давхар, 2106 тоот</t>
  </si>
  <si>
    <t>00230</t>
  </si>
  <si>
    <t>Khishig tuv</t>
  </si>
  <si>
    <t>Хишиг төв</t>
  </si>
  <si>
    <t>БГД, 13-р хороо, 3-р хороолол, Ард аюуш өргөн чөлөө гудамж 11/2, 11/3</t>
  </si>
  <si>
    <t>00231</t>
  </si>
  <si>
    <t>Tuguldur Apartment</t>
  </si>
  <si>
    <t>Төгөлдөр Апартмент</t>
  </si>
  <si>
    <t>ХУД, 4-р хороо, Яармаг /17110/, Наадамчдын зам гудамж, 763 байр, 1 давхар, 102 тоот</t>
  </si>
  <si>
    <t>00232</t>
  </si>
  <si>
    <t>Urguu 68</t>
  </si>
  <si>
    <t>Өргөө 68</t>
  </si>
  <si>
    <t>00233</t>
  </si>
  <si>
    <t>Sunshine village</t>
  </si>
  <si>
    <t>Саншайн виллаж</t>
  </si>
  <si>
    <t>БЗД, 26-р хороо, 13312, Нийслэл хүрээ өргөн чөлөө гудамж, 334 байр, 101 тоот</t>
  </si>
  <si>
    <t>00234</t>
  </si>
  <si>
    <t>Chingeltei district</t>
  </si>
  <si>
    <t>ЧД, 1-р хороо, Бага тойруу, 16-р байр, 44 тоот</t>
  </si>
  <si>
    <t>00235</t>
  </si>
  <si>
    <t>120 myangat</t>
  </si>
  <si>
    <t>120 мянгат</t>
  </si>
  <si>
    <t>ХУД, 1-р хороо, 19-р хороолол, Чингисийн өргөн чөлөө гудамж, 24/1 байр, 1 давхар, А тоот</t>
  </si>
  <si>
    <t>00236</t>
  </si>
  <si>
    <t>UB department store</t>
  </si>
  <si>
    <t>УБ их дэлгүүр</t>
  </si>
  <si>
    <t>СБД, 4-р хороо, 50 мянгат, 22-р байр, 1 тоот</t>
  </si>
  <si>
    <t>00237</t>
  </si>
  <si>
    <t>Artsat-2</t>
  </si>
  <si>
    <t>Арцат-2</t>
  </si>
  <si>
    <t>Хан-Уул дүүргийн 23-р хороо, Арцатын ам /17100/, Наадамчдын зам гудамж, 1433/1 байр 1-Б тоот</t>
  </si>
  <si>
    <t>00238</t>
  </si>
  <si>
    <t>Moriton tsogtsolbor</t>
  </si>
  <si>
    <t>Морьтон цогцолбор</t>
  </si>
  <si>
    <t>ХУД, 3-р хороо, үйлдвэр Чингисийн өргөн чөлөө гудамж, 77А байр, 2-р орц, 102 тоот</t>
  </si>
  <si>
    <t>00239</t>
  </si>
  <si>
    <t>22 towchoonii naana</t>
  </si>
  <si>
    <t>22 товчооны наана</t>
  </si>
  <si>
    <t>СХД-ийн 20-р хороо Моносын уулзаварын баруун талд, Толгойт өртөөний урд</t>
  </si>
  <si>
    <t>00240</t>
  </si>
  <si>
    <t>Tenger</t>
  </si>
  <si>
    <t>Тэнгэр</t>
  </si>
  <si>
    <t>БЗД-ийн 8-р хороо, Тэнгэр бөөний худалдааны төвийн дэргэд</t>
  </si>
  <si>
    <t>00241</t>
  </si>
  <si>
    <t>Denjiin 1000</t>
  </si>
  <si>
    <t>Дэнжийн 1000</t>
  </si>
  <si>
    <t>ЧД-ийн 10-р хороо, Дэнжийн 1000-ын өгсөх замын баруун талд</t>
  </si>
  <si>
    <t>00242</t>
  </si>
  <si>
    <t>Dambadarjaa</t>
  </si>
  <si>
    <t>Дамбадаржаа</t>
  </si>
  <si>
    <t>СБД, 14-р хороо, 7 буудал Дамбадаржаа салдаг уулзвар Петровис ШТС-20</t>
  </si>
  <si>
    <t>00243</t>
  </si>
  <si>
    <t>Sky Garden Residence</t>
  </si>
  <si>
    <t>Cкай Гарден Резиденс</t>
  </si>
  <si>
    <t>ХУД, 17-р хороо, Стадион Оргил, Их монгол улсын гудамж, 715 байрны 3В тоот</t>
  </si>
  <si>
    <t>00244</t>
  </si>
  <si>
    <t>Auto plaza 1</t>
  </si>
  <si>
    <t>Авто плаза 1</t>
  </si>
  <si>
    <t>Нийслэлийн Сүхбаатар дүүргийн 7 дугаар хороо 11 дүгээр хороолол Содномын гудамж 78/2 тоот</t>
  </si>
  <si>
    <t>00245</t>
  </si>
  <si>
    <t>Nalaikh kolonk</t>
  </si>
  <si>
    <t>Налайх колонк</t>
  </si>
  <si>
    <t>Налайх дүүрэг 1-р хороо</t>
  </si>
  <si>
    <t>00246</t>
  </si>
  <si>
    <t>Emeelt</t>
  </si>
  <si>
    <t>Эмээлт</t>
  </si>
  <si>
    <t>СХД, 32-р хороо Эмээлт петровис ШТС-39</t>
  </si>
  <si>
    <t>00247</t>
  </si>
  <si>
    <t>GB Town</t>
  </si>
  <si>
    <t>Жи Би Таун</t>
  </si>
  <si>
    <t>БГД 1-р хороо, 2-р хороолол, Хатанбаатар магсаржав гудамж,</t>
  </si>
  <si>
    <t>00248</t>
  </si>
  <si>
    <t>F BG hotel</t>
  </si>
  <si>
    <t>F Би Жи зочид буудал</t>
  </si>
  <si>
    <t>Баянзүрх дүүргийн 5-р хороо, 15 хороолол /13342/, Энхтайваны өргөн чөлөө гудамж, 84 тоот</t>
  </si>
  <si>
    <t>00249</t>
  </si>
  <si>
    <t>Mongolia and Japan hospital</t>
  </si>
  <si>
    <t>Монгол-Япон эмнэлэг</t>
  </si>
  <si>
    <t>00250</t>
  </si>
  <si>
    <t>Seoul street</t>
  </si>
  <si>
    <t>Сөүлийн гудамж</t>
  </si>
  <si>
    <t>Сүхбаатар дүүрэг, 5-р хороо, Хүүхдийн 100, 1-р үйлчилгээний төв</t>
  </si>
  <si>
    <t>00251</t>
  </si>
  <si>
    <t>Gurvaljin sanlbar</t>
  </si>
  <si>
    <t>Гурвалжин салбар</t>
  </si>
  <si>
    <t>БГД, 20-р хороо, Үйлдвэрийн бүс /16100/ Москва 7 дугаартай барилгын 1 дүгээр давхар Ү-2 тоот</t>
  </si>
  <si>
    <t>00252</t>
  </si>
  <si>
    <t>Tarvalin</t>
  </si>
  <si>
    <t>Тарвалин</t>
  </si>
  <si>
    <t>БЗД, 5-р хороо, 15-р хороолол, /13343/, 48Б байр, 4 тоот</t>
  </si>
  <si>
    <t>00253</t>
  </si>
  <si>
    <t>F Khongor Apartment</t>
  </si>
  <si>
    <t>F Хонгор Апартмент</t>
  </si>
  <si>
    <t>Хан-Уул дүүрэг, 3-р хороо, Үйлдвэр /17060/ үйлдвэрийн гудамж, 16-р байр 138тоот</t>
  </si>
  <si>
    <t>00254</t>
  </si>
  <si>
    <t>Belkh zakh</t>
  </si>
  <si>
    <t>Бэлх зах</t>
  </si>
  <si>
    <t>СБД, 18-р хороо, Дамбадаржаа /14060/ 901 тоот</t>
  </si>
  <si>
    <t>00255</t>
  </si>
  <si>
    <t>Enkhjin</t>
  </si>
  <si>
    <t>Энхжин хотхон</t>
  </si>
  <si>
    <t>ХУД, 11-р хороо, Зайсангийн ам, Энхжин хотхон, 32Б байр, 2 тоот</t>
  </si>
  <si>
    <t>00256</t>
  </si>
  <si>
    <t>Nalaikhiin post</t>
  </si>
  <si>
    <t>Налайхын пост</t>
  </si>
  <si>
    <t>Нийслэлийн налайх дүүрэг, 1-р хороо, Уурхайчид 30 гудамж 2 тоот</t>
  </si>
  <si>
    <t>00257</t>
  </si>
  <si>
    <t>Shine tereg plaza</t>
  </si>
  <si>
    <t>F Шинэ тэрэг плаза</t>
  </si>
  <si>
    <t>СБД, 1-р хороо, 13 нарны зам гудамж, 10-р байр, 1 давхар</t>
  </si>
  <si>
    <t>00258</t>
  </si>
  <si>
    <t>Mandala garden</t>
  </si>
  <si>
    <t>Мандала гарден</t>
  </si>
  <si>
    <t>ХУД, 4-р хороо, Мандала плаза, 106-12 болон 13 тоот</t>
  </si>
  <si>
    <t>00259</t>
  </si>
  <si>
    <t>Sky smart</t>
  </si>
  <si>
    <t>Скай смарт</t>
  </si>
  <si>
    <t>ХУД, 20-р хороо, Скай смарт апартмент, 1 давхарт</t>
  </si>
  <si>
    <t>00260</t>
  </si>
  <si>
    <t>F Sapporo</t>
  </si>
  <si>
    <t>F Саппоро</t>
  </si>
  <si>
    <t>СХД, 12-р хороо, 1-р хороолол /18030/, Москвагийн гудамж, 41/1 тоот</t>
  </si>
  <si>
    <t>00261</t>
  </si>
  <si>
    <t>Power Plant 4</t>
  </si>
  <si>
    <t>ДЦС-4</t>
  </si>
  <si>
    <t>БГД 20-р хороо ДЦС 4 Үйлдвэрийн 2-р байр</t>
  </si>
  <si>
    <t>00262</t>
  </si>
  <si>
    <t>Da Khuree zakh</t>
  </si>
  <si>
    <t>Да Хүрээ зах</t>
  </si>
  <si>
    <t>БЗД 24 хороо Да хүрээ гудамж 68/1 барилгын г блок байр, 1 давхар 6 тоот</t>
  </si>
  <si>
    <t>00263</t>
  </si>
  <si>
    <t>Dream plaza</t>
  </si>
  <si>
    <t>Дрийм плаза</t>
  </si>
  <si>
    <t>ХУД, 4-р хороо, Наадамчдын гудамж, Арцат апартмент, 1441-р байр, 1 давхар</t>
  </si>
  <si>
    <t>00264</t>
  </si>
  <si>
    <t>Yarmag</t>
  </si>
  <si>
    <t>Яармаг</t>
  </si>
  <si>
    <t>Хан-Уул дүүргийн 6 дугаар хороо, Нүхтийн 26 дугаар гудамжны 463 тоот</t>
  </si>
  <si>
    <t>00265</t>
  </si>
  <si>
    <t>White hill</t>
  </si>
  <si>
    <t>Вайт Хилл</t>
  </si>
  <si>
    <t>ХУД, 11-р хороо, Ар Зайсангийн аманд байрлах, Уайт Хилл хотхон, 100/9-р байр, 1 давхар</t>
  </si>
  <si>
    <t>00266</t>
  </si>
  <si>
    <t>Modun town</t>
  </si>
  <si>
    <t>Модун Таун</t>
  </si>
  <si>
    <t>00267</t>
  </si>
  <si>
    <t>Consul Tower</t>
  </si>
  <si>
    <t>Консул тауэр</t>
  </si>
  <si>
    <t>БЗД, 1-р хороо, 12 хороолол /13380/, Денверийн гудамж, 79-р байр, 1 давхар, V-05 тоот</t>
  </si>
  <si>
    <t>00268</t>
  </si>
  <si>
    <t>F Uliastain zam</t>
  </si>
  <si>
    <t>F Улиастайн зам</t>
  </si>
  <si>
    <t>БЗД, 23-р хороо, 1-р гудамж, 1201 тоот</t>
  </si>
  <si>
    <t>00269</t>
  </si>
  <si>
    <t>Amgalangiin garam</t>
  </si>
  <si>
    <t>Амгалангийн гарам</t>
  </si>
  <si>
    <t>БЗД, 10-р хороо, 2б хэсэг, Энхтайвны өргөн чөлөө гудамж,5002 тоот</t>
  </si>
  <si>
    <t>00270</t>
  </si>
  <si>
    <t>Evt tuv</t>
  </si>
  <si>
    <t>Эвт төв</t>
  </si>
  <si>
    <t>Сүхбаатар дүүргийн 7-р хороо, 11-р хороолол /14192/ Эрхүүгийн гудамж 3б байр, 1-р давхарт тоот</t>
  </si>
  <si>
    <t>00271</t>
  </si>
  <si>
    <t>Jobi 72 tuv</t>
  </si>
  <si>
    <t>Жоби 72 төв</t>
  </si>
  <si>
    <t>БЗД, 4-р хороо, 15-р хороолол /13344/, Энхтайваны өргөн чөлөө, 37-р байр, 1-р давхар</t>
  </si>
  <si>
    <t>00272</t>
  </si>
  <si>
    <t>Comfort plaza</t>
  </si>
  <si>
    <t>Комфорт плаза</t>
  </si>
  <si>
    <t>ХУД, 3-р хороо, 17060 Үйлдвэр гудамж, 67-р байр, 102 тоот</t>
  </si>
  <si>
    <t>00273</t>
  </si>
  <si>
    <t>Grand Vista</t>
  </si>
  <si>
    <t>Гранд виста</t>
  </si>
  <si>
    <t>БГД, 3-р хороо, Замчид гудамж, 214Б байр</t>
  </si>
  <si>
    <t>00274</t>
  </si>
  <si>
    <t>00275</t>
  </si>
  <si>
    <t>Uildweriin gudamj</t>
  </si>
  <si>
    <t>Үйлдвэрийн гудамж</t>
  </si>
  <si>
    <t>ХУД, 3-р хороо, Үйлдвэр /17061/ Үйлдвэр гудамж, 11/2 байр, 2 тоот</t>
  </si>
  <si>
    <t>00276</t>
  </si>
  <si>
    <t>F Good day hotel</t>
  </si>
  <si>
    <t>F Гүүд дей зочид буудал</t>
  </si>
  <si>
    <t>БГД, 8-р хороо, 3-р хороолол, Далин хутагт жамсранжав гудамж 11</t>
  </si>
  <si>
    <t>00277</t>
  </si>
  <si>
    <t>Gurvaljin petrovis</t>
  </si>
  <si>
    <t>Гурвалжин Петровис</t>
  </si>
  <si>
    <t>БГД, 4-р хороо, Гурвалжингийн гүүрний баруун тал, Петровис ШТС-1</t>
  </si>
  <si>
    <t>00278</t>
  </si>
  <si>
    <t>5 sharin urd</t>
  </si>
  <si>
    <t>5 шарын урд</t>
  </si>
  <si>
    <t>БГД, 5-р хороо, Таван шарын баруун урд, Петровис ШТС-6</t>
  </si>
  <si>
    <t>00279</t>
  </si>
  <si>
    <t>Shar hadni etses</t>
  </si>
  <si>
    <t>Шар хадны эцэс</t>
  </si>
  <si>
    <t>БЗД, 9-р хороо, 13281 Шар хадны гудамж, 87 тоот</t>
  </si>
  <si>
    <t>00281</t>
  </si>
  <si>
    <t>Khasbaatar gudamj</t>
  </si>
  <si>
    <t>Хасбаатарын гудамж</t>
  </si>
  <si>
    <t>БГД, 10 дугаар хороо, 3 хороолол /16090/ Хасбаатарын гудамж, 31-р байр 1 давхар.</t>
  </si>
  <si>
    <t>00282</t>
  </si>
  <si>
    <t>Shilen zakh</t>
  </si>
  <si>
    <t>Шилэн зах</t>
  </si>
  <si>
    <t>Баянзүрх дүүргийн 14-р хороо, 14-р хороолол /13336/, 56 байр, 1 давхар</t>
  </si>
  <si>
    <t>00283</t>
  </si>
  <si>
    <t>19 uilchilgeenii tuv</t>
  </si>
  <si>
    <t>19-н үйлчилгээний төв</t>
  </si>
  <si>
    <t>ХУД, 2-р хороо, 19-р хороолол, Дунд гол гудамж, 19а байр, 0 тоот</t>
  </si>
  <si>
    <t>00284</t>
  </si>
  <si>
    <t>Tavan buudal</t>
  </si>
  <si>
    <t>Таван буудал</t>
  </si>
  <si>
    <t>Нийслэлийн Сүхбаатар дүүргийн 13-р хороо, Рашан 14 гудамж 314Б тоот</t>
  </si>
  <si>
    <t>00285</t>
  </si>
  <si>
    <t>Dari eh</t>
  </si>
  <si>
    <t>Дарь эх</t>
  </si>
  <si>
    <t>БЗД, 27-р хороо, Дунд Дарь Эх 32-р гудамж, 1724Б тоот</t>
  </si>
  <si>
    <t>00286</t>
  </si>
  <si>
    <t>Bumbugur</t>
  </si>
  <si>
    <t>Бөмбөгөр</t>
  </si>
  <si>
    <t>Чингэлтэй дүүргий 2-р хороо, 40 50 мянгат /15171/ Их тойруу гудамж 28/2 байр тоот хаягт байршилтай /Бөмбөгөр худалдааны төвийн Өргөтгөл-3</t>
  </si>
  <si>
    <t>00287</t>
  </si>
  <si>
    <t>Emerald residence</t>
  </si>
  <si>
    <t>Эмералд резиденс</t>
  </si>
  <si>
    <t>БЗД, 26 дугаар хорооны “Эмералд Резиденс” хотхоны 511-р байрны 111 тоот</t>
  </si>
  <si>
    <t>00288</t>
  </si>
  <si>
    <t>Buyant ukhaa tower</t>
  </si>
  <si>
    <t>Буянт Ухаа тауэр</t>
  </si>
  <si>
    <t>ХУД, 21-р хороо, Буянт-Ухаа тауэр, 1 давхар</t>
  </si>
  <si>
    <t>00290</t>
  </si>
  <si>
    <t>Belmonte residence</t>
  </si>
  <si>
    <t>Белмонте Резиденс</t>
  </si>
  <si>
    <t>ХУД, 4-р хороо, Хүүшийн ам /17080/, Наадамчдын зам гудамж, 1221 байр, 3 тоот</t>
  </si>
  <si>
    <t>00291</t>
  </si>
  <si>
    <t>UB INN</t>
  </si>
  <si>
    <t>Юү Би Инн</t>
  </si>
  <si>
    <t>Нийслэлийн Чингилтэй дүүргийн 5-р хороо, 40,50 мянгат /15171/, Самбуугийн гудамж 35-р байр 1-р давхрийн урд хэсэг</t>
  </si>
  <si>
    <t>00292</t>
  </si>
  <si>
    <t>Tsengeldekh Khothon</t>
  </si>
  <si>
    <t>Цэнгэлдэх хотхон</t>
  </si>
  <si>
    <t>ХУД, 15-р хороо, Стадион оргил /17011/, Махатма Ганди гудамж, 208-р байр, 101 тоот</t>
  </si>
  <si>
    <t>00293</t>
  </si>
  <si>
    <t>Viva city</t>
  </si>
  <si>
    <t>Вива сити</t>
  </si>
  <si>
    <t>ХУД, 4-р хороо, Вива Сити, 2/7 байр, 1-2 тоот</t>
  </si>
  <si>
    <t>00295</t>
  </si>
  <si>
    <t>Hudulmuriin ordon</t>
  </si>
  <si>
    <t>Хөдөлмөрийн ордон</t>
  </si>
  <si>
    <t>Чингэлтэй дүүргийн 1-р хороо, Бага тойруу /15160/, Жигжиджав гудамж 9/1 байр 1 давхарын 103,101 тоот хаяг</t>
  </si>
  <si>
    <t>00296</t>
  </si>
  <si>
    <t>Bichil Talimaa</t>
  </si>
  <si>
    <t>Бичил Талимаа</t>
  </si>
  <si>
    <t>БГД, 12 хороо, Хасбаатарын гудамж, 13/1, 13/2 тоот</t>
  </si>
  <si>
    <t>00297</t>
  </si>
  <si>
    <t>Jigjidiin zam</t>
  </si>
  <si>
    <t>Жигжидийн зам</t>
  </si>
  <si>
    <t>Чингэлтэй дүүргийн 24-р хороо, жигжид 3-р хэсэг гудамж 302 тоот</t>
  </si>
  <si>
    <t>00298</t>
  </si>
  <si>
    <t>Barilga mega store</t>
  </si>
  <si>
    <t>Барилга мега стор</t>
  </si>
  <si>
    <t>Баянзүрх дүүргийн 1-р хороо 12-р хороолол /13380/, их тойруу гудамж 93 байр 1 давхар</t>
  </si>
  <si>
    <t>00299</t>
  </si>
  <si>
    <t>Zaisan residence</t>
  </si>
  <si>
    <t>Зайсан ресидинс</t>
  </si>
  <si>
    <t>Хан-Уул дүүргийн, 11-р хороо, Богдхан уулын ДЦГ, Зайсангийн ам</t>
  </si>
  <si>
    <t>00300</t>
  </si>
  <si>
    <t>Gerlug vista</t>
  </si>
  <si>
    <t>Гэрлүг виста</t>
  </si>
  <si>
    <t>Хан-Уул дүүргийн 18-р хороо, Нийслэл хүрээ гудамж, Гэрлүг Виста хотхоны Үйлчилгээний төв</t>
  </si>
  <si>
    <t>00301</t>
  </si>
  <si>
    <t>Altai khothon</t>
  </si>
  <si>
    <t>Алтай хотхон 2</t>
  </si>
  <si>
    <t>БГД, 4-р хороо, Үйлдвэр гудамж, Алтай хотхон, 52а байр, үйлчилгээ 5 тоот</t>
  </si>
  <si>
    <t>00302</t>
  </si>
  <si>
    <t>Ofitser zakh</t>
  </si>
  <si>
    <t>Офицер зах</t>
  </si>
  <si>
    <t>БЗД,13-р хороо, Өглөө цогцолбор /13331/, Энхтайвны өргөн чөлөө 127/9 тоот</t>
  </si>
  <si>
    <t>00304</t>
  </si>
  <si>
    <t>Chimeg tuv</t>
  </si>
  <si>
    <t>Чимэг төв</t>
  </si>
  <si>
    <t>ЧД, 5 хороо, 6 хороолол /15141/ тусгаар тогтнолын талбайн баруун талд, Чимэг төвийн залгаа байр</t>
  </si>
  <si>
    <t>00305</t>
  </si>
  <si>
    <t>Songinokhairkhan zah</t>
  </si>
  <si>
    <t>Сонгинохайрхан зах</t>
  </si>
  <si>
    <t>СХД, 6-р хороо, Ханын материал /18061/, Баянхошууны гудамж, 36 тоот</t>
  </si>
  <si>
    <t>00306</t>
  </si>
  <si>
    <t>5 yam</t>
  </si>
  <si>
    <t>5 яам</t>
  </si>
  <si>
    <t>Чингилтэй дүүрэг, 4-р хороо, 20 байр 36 тоот</t>
  </si>
  <si>
    <t>00307</t>
  </si>
  <si>
    <t>TETS 4-iin zam</t>
  </si>
  <si>
    <t>ТЭЦ 4-ийн зам</t>
  </si>
  <si>
    <t>БГД, 5-р хороо, Ажилчин гудамж, 80/1 байр</t>
  </si>
  <si>
    <t>00308</t>
  </si>
  <si>
    <t>Cozy apartment</t>
  </si>
  <si>
    <t>Кози Апартмент</t>
  </si>
  <si>
    <t>ХУД, 3-р хороо, 19-р хороолол /17033/, Энгельс гудамж, 7/2 байр, 39 тоот</t>
  </si>
  <si>
    <t>00310</t>
  </si>
  <si>
    <t>Shurt khotkhon</t>
  </si>
  <si>
    <t>Шүрт хотхон</t>
  </si>
  <si>
    <t>ХУД, 21-р хороо, Шүрт хотхон, Ү блок, 815 байр, 1 давхар</t>
  </si>
  <si>
    <t>00312</t>
  </si>
  <si>
    <t>Nice tuv</t>
  </si>
  <si>
    <t>Найс төв</t>
  </si>
  <si>
    <t>ЧД, 11-р хороо, Нуур 18 гудамж, 464 б тоот</t>
  </si>
  <si>
    <t>00313</t>
  </si>
  <si>
    <t>Urgakh Naran</t>
  </si>
  <si>
    <t>Ургах Наран</t>
  </si>
  <si>
    <t>БЗД, 11-р хороо, усан сан 1 гудамж 17 тоот</t>
  </si>
  <si>
    <t>00314</t>
  </si>
  <si>
    <t>Castle Plaza</t>
  </si>
  <si>
    <t>Кэстл Плаза</t>
  </si>
  <si>
    <t>00315</t>
  </si>
  <si>
    <t>F Zuun mod</t>
  </si>
  <si>
    <t>F Зуунмод</t>
  </si>
  <si>
    <t>Зуунмод сум</t>
  </si>
  <si>
    <t>Төв аймаг, Зуунмод сум, 1-р баг, Номт Тээвэрчдийн 1 гудамж, 0 тоот</t>
  </si>
  <si>
    <t>00316</t>
  </si>
  <si>
    <t>Terelj ovoo</t>
  </si>
  <si>
    <t>Тэрэлжийн овоо</t>
  </si>
  <si>
    <t>Налайх дүүргийн 1-р хороо, Их ам /12611/ 1 дүгээр гудамж, 195 тоот</t>
  </si>
  <si>
    <t>00317</t>
  </si>
  <si>
    <t>Khangarid city 2</t>
  </si>
  <si>
    <t>Хангарьд сити 2</t>
  </si>
  <si>
    <t>ХУД, 4-р хороо, Арцатын ам /17100/, 1560 байр, 9 тоот</t>
  </si>
  <si>
    <t>00318</t>
  </si>
  <si>
    <t>F Baynkhoshuunii zam</t>
  </si>
  <si>
    <t>F Баянхошууны зам</t>
  </si>
  <si>
    <t>СХД 11 хороо, овоот, 1 гудамж 5 тоот</t>
  </si>
  <si>
    <t>00320</t>
  </si>
  <si>
    <t>Narnii zam</t>
  </si>
  <si>
    <t>Нарны зам</t>
  </si>
  <si>
    <t>БЗД, 6-р хороо, Нарны зам гудамж, 20 байр, С блок</t>
  </si>
  <si>
    <t>00321</t>
  </si>
  <si>
    <t>nalaikh-choiriin zam</t>
  </si>
  <si>
    <t>Налайх-Чойрын зам</t>
  </si>
  <si>
    <t>НД, 1-р хороо, Суурьшилгүй бүс /12250/, 80 тоот</t>
  </si>
  <si>
    <t>00323</t>
  </si>
  <si>
    <t>JS tower</t>
  </si>
  <si>
    <t>Жэй Эс Тауэр</t>
  </si>
  <si>
    <t>00324</t>
  </si>
  <si>
    <t>Eco International tower</t>
  </si>
  <si>
    <t>Эко Интернэйшнл Тауэр</t>
  </si>
  <si>
    <t>00325</t>
  </si>
  <si>
    <t>Ulziitiin zam 2</t>
  </si>
  <si>
    <t>Өлзийтийн зам 2</t>
  </si>
  <si>
    <t>00327</t>
  </si>
  <si>
    <t>Arvin</t>
  </si>
  <si>
    <t>Арвин</t>
  </si>
  <si>
    <t>БГД 30-хороо, 10-р хороолол, /16081/, хд-87/2 1 давхар</t>
  </si>
  <si>
    <t>00328</t>
  </si>
  <si>
    <t>Dalaikhuu</t>
  </si>
  <si>
    <t>Далайхүү</t>
  </si>
  <si>
    <t>ЧД, 14-р хороо, Чингэлтэйн гудамж, Хайлааст /15110/, 10А тоот</t>
  </si>
  <si>
    <t>00329</t>
  </si>
  <si>
    <t>F Nart khotkhon 2</t>
  </si>
  <si>
    <t>F Нарт хотхон 2</t>
  </si>
  <si>
    <t>БЗД, 14-р хороо, 14-р хороолол /13334/ 94А байр</t>
  </si>
  <si>
    <t>00331</t>
  </si>
  <si>
    <t>MN Central office</t>
  </si>
  <si>
    <t>MN Сэнтрал оффис</t>
  </si>
  <si>
    <t>СБД, 1-р хороо, Соёл амралтын хүрээлэн, гэндэн гудамж 16 барилгын 1 дүгээр давхарын баруун жигүүр</t>
  </si>
  <si>
    <t>00332</t>
  </si>
  <si>
    <t>Sod tuv</t>
  </si>
  <si>
    <t>Сод төв</t>
  </si>
  <si>
    <t>БГД, 5-р хороо, 10-р хороолол, Үйлчилгээ орон сууцны барилга, 1 давхар</t>
  </si>
  <si>
    <t>00333</t>
  </si>
  <si>
    <t>16-r surguuli</t>
  </si>
  <si>
    <t>16-р сургууль</t>
  </si>
  <si>
    <t>СБД, 10-р хороо, 7-р хороолол /14181/</t>
  </si>
  <si>
    <t>00334</t>
  </si>
  <si>
    <t>Lenin club</t>
  </si>
  <si>
    <t>Ленин клуб</t>
  </si>
  <si>
    <t>СБД, 1-р хороо, Санкт Петрбург төвийн 1 давхарт</t>
  </si>
  <si>
    <t>00337</t>
  </si>
  <si>
    <t>Baynkhoshuu Un tsag tuv</t>
  </si>
  <si>
    <t>Баянхошуу Өн цаг төв</t>
  </si>
  <si>
    <t>СХД, 7-р хороо Баянхошуу 6 гудамж 54 тоот</t>
  </si>
  <si>
    <t>00338</t>
  </si>
  <si>
    <t>Zuragtin shine etses</t>
  </si>
  <si>
    <t>Зурагтын шинэ эцэс</t>
  </si>
  <si>
    <t>00339</t>
  </si>
  <si>
    <t>Chukhag khotkhon</t>
  </si>
  <si>
    <t>Чухаг хотхон</t>
  </si>
  <si>
    <t>БЗД, 26-р хороо, Үндэсний цэцэрлэгт хүрээлэн /13313/ нийслэл хүрээ өргөн чөлөө гудамж, 607 байр, Ү3 тоот</t>
  </si>
  <si>
    <t>00341</t>
  </si>
  <si>
    <t>Nukhtiin zam</t>
  </si>
  <si>
    <t>Нүхтийн зам</t>
  </si>
  <si>
    <t>ХУД, 23-р хороо, Арцатын ам /17100/, нүхтийн зам гудамж, 756-р байр, 1Д тоот</t>
  </si>
  <si>
    <t>00342</t>
  </si>
  <si>
    <t>Tolgoitin etses</t>
  </si>
  <si>
    <t>Толгойтын эцэс</t>
  </si>
  <si>
    <t>СХД, 2-р хороо, Орбит 21 гудамж 363 тоот</t>
  </si>
  <si>
    <t>00345</t>
  </si>
  <si>
    <t>Baynhoshuunii etses</t>
  </si>
  <si>
    <t>Баянхошууны эцэс</t>
  </si>
  <si>
    <t>СХД, 8-р хороо, Наран 18140, Баянхошууны гудамж, 64 тоот</t>
  </si>
  <si>
    <t>00346</t>
  </si>
  <si>
    <t>GSSUT urd</t>
  </si>
  <si>
    <t>ГССҮТ урд</t>
  </si>
  <si>
    <t>БГД, 6-р хороо, Дилав хутагт Жамсранжав гудамж, аос 6 тоот</t>
  </si>
  <si>
    <t>00347</t>
  </si>
  <si>
    <t>Naran undraa tuv</t>
  </si>
  <si>
    <t>Наран Ундраа төв</t>
  </si>
  <si>
    <t>БЗД 18-хороо 13-р хороолол-2,ХД-22тоот</t>
  </si>
  <si>
    <t>00349</t>
  </si>
  <si>
    <t>Zurgaan buudal</t>
  </si>
  <si>
    <t>Зургаан буудал</t>
  </si>
  <si>
    <t>СБД, 14-р хороо, Хандгайтын 30 гудамж, 376 тоот</t>
  </si>
  <si>
    <t>00350</t>
  </si>
  <si>
    <t>Rich Hotel</t>
  </si>
  <si>
    <t>Рич зочид буудал</t>
  </si>
  <si>
    <t>ЧД, 6-р хороо, 6-р хороолол, /15140/, Их тойруу-27</t>
  </si>
  <si>
    <t>00351</t>
  </si>
  <si>
    <t>1000 oyutnii bair</t>
  </si>
  <si>
    <t>1000 оюутны байр</t>
  </si>
  <si>
    <t>Нийслэлийн Баянзүрх дүүргийн 5-р хороо, Б дорж гудамж, 143 тоот</t>
  </si>
  <si>
    <t>00352</t>
  </si>
  <si>
    <t>F Chuluun ovoo</t>
  </si>
  <si>
    <t>F Чулуун овоо</t>
  </si>
  <si>
    <t>БЗД, 12-р хороо, Жанжин 26 гудамж, 607 тоот</t>
  </si>
  <si>
    <t>00354</t>
  </si>
  <si>
    <t>Erkhet khudaldaanii tuv</t>
  </si>
  <si>
    <t>Эрхэт худалдааны төв</t>
  </si>
  <si>
    <t>БЗД, 6-р хороо, Энхтайваны өргөн чөлөө гудамж, 75-р байр, 1 блок, 1-2 тоот</t>
  </si>
  <si>
    <t>00355</t>
  </si>
  <si>
    <t>Nalaikh</t>
  </si>
  <si>
    <t>Налайх</t>
  </si>
  <si>
    <t>Налайх дүүргийн 2-р хороо, Жаргалант /12790/ Д.Даваажав гудамж 15/2 тоот</t>
  </si>
  <si>
    <t>00356</t>
  </si>
  <si>
    <t>Gandangin khoid</t>
  </si>
  <si>
    <t>Гандангийн хойд</t>
  </si>
  <si>
    <t>00357</t>
  </si>
  <si>
    <t>Darhi ekhiin gudamj</t>
  </si>
  <si>
    <t>Дарь эхийн гудамж</t>
  </si>
  <si>
    <t>БЗД, 2-р хороо, Сэлбийн 12 гудамж, 10-87 тоот</t>
  </si>
  <si>
    <t>00358</t>
  </si>
  <si>
    <t>Bichiliin arknii buudal</t>
  </si>
  <si>
    <t>Бичлийн аркны буудал</t>
  </si>
  <si>
    <t>БГД, 12-р хороо, 4-р хороолол /16065/, Хасбаатарын гудамж, 3Б тоот</t>
  </si>
  <si>
    <t>00359</t>
  </si>
  <si>
    <t>Choidogiin gudamj</t>
  </si>
  <si>
    <t>Чойдогийн гудамж</t>
  </si>
  <si>
    <t>Сүхбаатар дүүргийн 1-р хороо, 13-р хороолол /14210/ Д.Чойдог гудамж, 1Б тоот</t>
  </si>
  <si>
    <t>00360</t>
  </si>
  <si>
    <t>zuun salaanii etses</t>
  </si>
  <si>
    <t>Зүүн салааны эцэс</t>
  </si>
  <si>
    <t>СХД, 25-р хороо Хайрхан гудамж, 2 гудамж 5 тоот</t>
  </si>
  <si>
    <t>00361</t>
  </si>
  <si>
    <t>F Namyanjugiin gudamj</t>
  </si>
  <si>
    <t>F Намъянжүгийн гудамж</t>
  </si>
  <si>
    <t>БЗД, 14-р хороо, Намъяанжугийн гудамж, 17 тоот</t>
  </si>
  <si>
    <t>00362</t>
  </si>
  <si>
    <t>Buman tuv</t>
  </si>
  <si>
    <t>Буман төв</t>
  </si>
  <si>
    <t>СХД, 8-р хороо, Зүүн Баян Цагаан, 12 гудамж, 37,37/а тоот</t>
  </si>
  <si>
    <t>00364</t>
  </si>
  <si>
    <t>Gereltjin</t>
  </si>
  <si>
    <t>Гэрэлтжин</t>
  </si>
  <si>
    <t>00365</t>
  </si>
  <si>
    <t>Unu bar tuv</t>
  </si>
  <si>
    <t>Өнө бар төв</t>
  </si>
  <si>
    <t>Нийслэлийн Чингэлтэй дүүрэг 14-р хороо Хайлаастын 11 дүгээр гудамжны 197 тоот</t>
  </si>
  <si>
    <t>00367</t>
  </si>
  <si>
    <t>Nalaikh-Tereljiin zam</t>
  </si>
  <si>
    <t>Налайх-Тэрэлжийн зам</t>
  </si>
  <si>
    <t>Нийслэлийн Налайх дүүргийн 1-р хороо, энгэршанд 10 гудамж 7а тоот</t>
  </si>
  <si>
    <t>00368</t>
  </si>
  <si>
    <t>Khonkhor</t>
  </si>
  <si>
    <t>Хонхор</t>
  </si>
  <si>
    <t>БЗД, 11-р хороо, Хонхор /13090/ гудамж, 25 тоот</t>
  </si>
  <si>
    <t>00369</t>
  </si>
  <si>
    <t>F Orkhon 11 gudamj</t>
  </si>
  <si>
    <t>F Орхон 11 гудамж</t>
  </si>
  <si>
    <t>Баянгол дүүргийн 16-р дугаар хороо, Орхон 11 дүгээр гудамж 1 тоот</t>
  </si>
  <si>
    <t>00370</t>
  </si>
  <si>
    <t>Dari-Ekhiin uulzvar</t>
  </si>
  <si>
    <t>Дарь-Эхийн уулзвар</t>
  </si>
  <si>
    <t>БЗД, 21-р хороо, Сэлбийн 26-р гудамж, 619 тоот</t>
  </si>
  <si>
    <t>00371</t>
  </si>
  <si>
    <t>Baynburd</t>
  </si>
  <si>
    <t>ЧД, 6-р хороо, 6-р хороолол /15140/, Их тойруу гудамж, 64а байр 104 тоот</t>
  </si>
  <si>
    <t>00372</t>
  </si>
  <si>
    <t>Ulziit khoroolol</t>
  </si>
  <si>
    <t>Өлзийт хороолол</t>
  </si>
  <si>
    <t>Хан-Уул дүүргийн 14-р хороо, Өлзийт /17150/, 75 тоот</t>
  </si>
  <si>
    <t>00373</t>
  </si>
  <si>
    <t>Zaisangiin etses</t>
  </si>
  <si>
    <t>Зайсангийн эцэс</t>
  </si>
  <si>
    <t>Хан-Уул дүүрэгт орших Богдхан уулын ДЦГ, Зайсангийн ам</t>
  </si>
  <si>
    <t>00374</t>
  </si>
  <si>
    <t>Naranbulag Zochid buudal</t>
  </si>
  <si>
    <t>Наранбулаг Зочид буудал</t>
  </si>
  <si>
    <t>БГД 4 хороо 2 хороолол/ 16052/ П.Жасрайн гудамж, 27А байр 1 давхар Б тоот</t>
  </si>
  <si>
    <t>00375</t>
  </si>
  <si>
    <t>Max mall</t>
  </si>
  <si>
    <t>Макс молл</t>
  </si>
  <si>
    <t>Баянгол дүүргийн 16-р хороо, Гандан /16040/, энхтайваны өргөн чөлөө гудамж 35 дугаар барилга 1-р давхарт, 102 тоот</t>
  </si>
  <si>
    <t>00376</t>
  </si>
  <si>
    <t>Saruul center</t>
  </si>
  <si>
    <t>Саруул центр</t>
  </si>
  <si>
    <t>Баянзүрх дүүргийн 26-р хороо, “Саруул хотхон” орон сууцны хорооллын А1 блок</t>
  </si>
  <si>
    <t>00377</t>
  </si>
  <si>
    <t>Naru tuv</t>
  </si>
  <si>
    <t>Нару төв</t>
  </si>
  <si>
    <t>ЧД, 8-р хороо, Баруун тасган, А гудамж, 10 тоот</t>
  </si>
  <si>
    <t>00378</t>
  </si>
  <si>
    <t>Bayanmongol-2</t>
  </si>
  <si>
    <t>Баянмонгол-2</t>
  </si>
  <si>
    <t>00379</t>
  </si>
  <si>
    <t>Margad center</t>
  </si>
  <si>
    <t>Маргад центр</t>
  </si>
  <si>
    <t>00380</t>
  </si>
  <si>
    <t>Orbitin toirog</t>
  </si>
  <si>
    <t>Орбитын тойрог</t>
  </si>
  <si>
    <t>СХД, 22-р хороо, Хилчин 45 гудамж, 1 тоот</t>
  </si>
  <si>
    <t>00383</t>
  </si>
  <si>
    <t>Khujirbulan</t>
  </si>
  <si>
    <t>Хужирбулан</t>
  </si>
  <si>
    <t>Баянзүрх дүүргийн 28-р хороо, 2 хэсэг Хужирбулан, 19 гудамж, 986 тоот</t>
  </si>
  <si>
    <t>00384</t>
  </si>
  <si>
    <t>E.Galdanboshgotin gudamj</t>
  </si>
  <si>
    <t>Э.Галданбошготын гудамж</t>
  </si>
  <si>
    <t>Сүхбаатар дүүргийн 9-р хороо, 7-р хороолол /14182/ э.галданбошготын гудамж 854 байрт</t>
  </si>
  <si>
    <t>00385</t>
  </si>
  <si>
    <t>Solo mall</t>
  </si>
  <si>
    <t>Соло молл</t>
  </si>
  <si>
    <t>БГД, 13-р хороо, 3-р хороолол, Ард Аюушийн өргөн чөлөө гудамж, 23-р байр, 1-р давхар, 102А тоот</t>
  </si>
  <si>
    <t>00387</t>
  </si>
  <si>
    <t>zugiin uur</t>
  </si>
  <si>
    <t>Зөгийн үүр</t>
  </si>
  <si>
    <t>00388</t>
  </si>
  <si>
    <t>Takhilt</t>
  </si>
  <si>
    <t>Тахилт</t>
  </si>
  <si>
    <t>СХД, 33-р хороо, Тахилт 3 гудамж, 27 тоот</t>
  </si>
  <si>
    <t>00389</t>
  </si>
  <si>
    <t>Unity center</t>
  </si>
  <si>
    <t>Юнити центр</t>
  </si>
  <si>
    <t>00390</t>
  </si>
  <si>
    <t>Officer toirog</t>
  </si>
  <si>
    <t>F Офицерийн тойрог</t>
  </si>
  <si>
    <t>Баянзүрх дүүргийн 16-р хороо, 16 хороолол /13321/ Дандарбаатар гудамж, 4/1 байр</t>
  </si>
  <si>
    <t>00391</t>
  </si>
  <si>
    <t>Nefti khotkhon</t>
  </si>
  <si>
    <t>Нефть хотхон</t>
  </si>
  <si>
    <t>СХД, 20-р хороо, Титэм /18103/ хотхон, 10а байр, 3 тоот</t>
  </si>
  <si>
    <t>00392</t>
  </si>
  <si>
    <t>Terelj residence</t>
  </si>
  <si>
    <t>Тэрэлж резиденс</t>
  </si>
  <si>
    <t>Сүхбаатар дүүргийн 6-р хороо, Тэрэлж резиденс 13 давхар</t>
  </si>
  <si>
    <t>00393</t>
  </si>
  <si>
    <t>1-r khoroolol ariin zam</t>
  </si>
  <si>
    <t>1-р хорооллын арын зам</t>
  </si>
  <si>
    <t>00394</t>
  </si>
  <si>
    <t>Baynhoshuunii shine etses</t>
  </si>
  <si>
    <t>Баянхошууны шинэ эцэс</t>
  </si>
  <si>
    <t>00395</t>
  </si>
  <si>
    <t>Tolgoitiin gudamj</t>
  </si>
  <si>
    <t>Толгойтын гудамж</t>
  </si>
  <si>
    <t>СХД, 3-р хороо, Бага наран 22 гудамж, 3а тоот</t>
  </si>
  <si>
    <t>00396</t>
  </si>
  <si>
    <t>Moskvagiin gudamj</t>
  </si>
  <si>
    <t>Москвагийн гудамж</t>
  </si>
  <si>
    <t>Нийслэлийн Баянгол дүүргийн 20-р хороо, Үйлдвэрийн баруун бүс /16101/, 586 тоот</t>
  </si>
  <si>
    <t>00397</t>
  </si>
  <si>
    <t>B.Dorjiin gudamj</t>
  </si>
  <si>
    <t>Б.Доржийн гудамж</t>
  </si>
  <si>
    <t>00398</t>
  </si>
  <si>
    <t>Gegee hotel</t>
  </si>
  <si>
    <t>Гэгээ зочид буудал</t>
  </si>
  <si>
    <t>Нийслэлийн Баянгол дүүргийн 22-р хороо, 3-р хороолол 16090 Өргөө гудамж гудамж, 37 дугаартай барилгын 1 дүгээр давхарын Б тоот</t>
  </si>
  <si>
    <t>00399</t>
  </si>
  <si>
    <t>Towchoonii zam</t>
  </si>
  <si>
    <t>Товчооны зам</t>
  </si>
  <si>
    <t>Сонгинохайрхан дүүргийн 32-р хороо, Товчооны зам /18320/ гудамж, 32 тоот</t>
  </si>
  <si>
    <t>00401</t>
  </si>
  <si>
    <t>Shine Altai Hotel</t>
  </si>
  <si>
    <t>Шинэ Алтай зочид буудал</t>
  </si>
  <si>
    <t>Нийслэлийн Сонгинохайрхан дүүргийн 18-р хороо, Толгойт /18101/, Москвагийн гудамж 28 тоот</t>
  </si>
  <si>
    <t>00402</t>
  </si>
  <si>
    <t>Gachuurtiin zam</t>
  </si>
  <si>
    <t>Гачууртын зам</t>
  </si>
  <si>
    <t>Нийслэлийн Баянзүрх дүүргийн 23-р хороо, Улиастайн 3 а хэсэг гудамж, 61а тоот хаягт байршилтай</t>
  </si>
  <si>
    <t>00403</t>
  </si>
  <si>
    <t>Zaluus horoolol</t>
  </si>
  <si>
    <t>Залуус хороолол</t>
  </si>
  <si>
    <t>00404</t>
  </si>
  <si>
    <t>Undram tuw</t>
  </si>
  <si>
    <t>Ундрам төв</t>
  </si>
  <si>
    <t>Нийслэлийн Баянгол дүүргийн 8-р хороо, Ард Аюушийн өргөн чөлөө 28 дугаар бүхий барилгын хэсэгт байршилтай</t>
  </si>
  <si>
    <t>00406</t>
  </si>
  <si>
    <t>Sentoza</t>
  </si>
  <si>
    <t>Сентоза</t>
  </si>
  <si>
    <t>Баянгол дүүргийн 18-р хороо, 4 хороолол хаяг байршилтай</t>
  </si>
  <si>
    <t>00408</t>
  </si>
  <si>
    <t>Tovchoonii zam 2</t>
  </si>
  <si>
    <t>Товчооны зам 2</t>
  </si>
  <si>
    <t>Сонгинохайрхан дүүргийн 32-р хороо, Сүмийн баруун талд гудамж хаягт байршилтай.</t>
  </si>
  <si>
    <t>00409</t>
  </si>
  <si>
    <t>Mongol Em Impex</t>
  </si>
  <si>
    <t>Монгол Эм Импекс</t>
  </si>
  <si>
    <t>Нийслэлийн Сүхбаатар дүүргийн 3-р хороо, 5 хороолол Нарны зам гудамж, 63 тоот хаягт байршилтай</t>
  </si>
  <si>
    <t>00410</t>
  </si>
  <si>
    <t>Tokyo town-2</t>
  </si>
  <si>
    <t>Токио таун-2</t>
  </si>
  <si>
    <t>Хан-Уул дүүргийн 15-р хороо, Стадион Оргил /17011/, Махатма Ганди гудамж, 121 байр 101 тоот</t>
  </si>
  <si>
    <t>00412</t>
  </si>
  <si>
    <t>33-r surguuli</t>
  </si>
  <si>
    <t>33-р сургууль</t>
  </si>
  <si>
    <t>Нийслэлийн Баянзүрх дүүргийн 3-р хороо, 12 дугаар хороолол, Их тойруу 11 тоот хаягт байршилтай</t>
  </si>
  <si>
    <t>00414</t>
  </si>
  <si>
    <t>Crystal Od</t>
  </si>
  <si>
    <t>Кристал Од</t>
  </si>
  <si>
    <t>Нийслэлийн Баянгол дүүргийн 2-р хороо, 2-р хороолол /16050/, энхтайваны өргөн чөлөө гудамж 107 байр A7 тоот хаягт байршилтай</t>
  </si>
  <si>
    <t>00417</t>
  </si>
  <si>
    <t>Officeruudiin ordon</t>
  </si>
  <si>
    <t>Офицеруудын ордон</t>
  </si>
  <si>
    <t>Нийслэлийн БЗД 22-хороо,15 хороолол-2 энхтайвны өргөн чөлөө гудамж 100/1 байр ү1 тоот</t>
  </si>
  <si>
    <t>00418</t>
  </si>
  <si>
    <t>Hailaastiin gudamj</t>
  </si>
  <si>
    <t>Хайлаастын гудамж</t>
  </si>
  <si>
    <t>Чингэлтэй дүүргийн 13-р хороо, сургуулийн 9 гудамж 127 тоот хаягт</t>
  </si>
  <si>
    <t>00419</t>
  </si>
  <si>
    <t>River Garden-1</t>
  </si>
  <si>
    <t>Ривер Гарден-2</t>
  </si>
  <si>
    <t>River Garden 308 North side, HUD - 17 khoroo, Ulaanbaatar 17012</t>
  </si>
  <si>
    <t>00421</t>
  </si>
  <si>
    <t>Bayankhoshuunii zam 2</t>
  </si>
  <si>
    <t>Баянхошууны зам 2</t>
  </si>
  <si>
    <t>СХД 28-р хороо сансар 6 гудамж 17 тоот</t>
  </si>
  <si>
    <t>00422</t>
  </si>
  <si>
    <t>Biocombinat</t>
  </si>
  <si>
    <t>Биокомбинат</t>
  </si>
  <si>
    <t>ХУД, 12-р хороо, Морин-Уул 1-3 байр 24 тоот</t>
  </si>
  <si>
    <t>00423</t>
  </si>
  <si>
    <t>17-r surguuli</t>
  </si>
  <si>
    <t>17-р сургууль</t>
  </si>
  <si>
    <t>Чингэлтэй дүүргийн, 13-р хороо, сургуулийн 3 гудамж 15 тоот</t>
  </si>
  <si>
    <t>00424</t>
  </si>
  <si>
    <t>Shuniin delguur</t>
  </si>
  <si>
    <t>Шөнийн дэлгүүр</t>
  </si>
  <si>
    <t>Улаанбаатар,Баянзүрх дүүрэг 12 хороо Жанжин 25 гудамж, 595 тоот</t>
  </si>
  <si>
    <t>00426</t>
  </si>
  <si>
    <t>Zuunmod-2</t>
  </si>
  <si>
    <t>Зуунмод-2</t>
  </si>
  <si>
    <t>Төв аймгийн Зуун мод сумын 1-р баг, Номт бодоогийн 3 гудамж 100 тоот</t>
  </si>
  <si>
    <t>00427</t>
  </si>
  <si>
    <t>Ikh nayd</t>
  </si>
  <si>
    <t>Их наяд</t>
  </si>
  <si>
    <t>Ikh Mongol State Street 4, HUD - 15 khoroo, Ulaanbaatar 17009</t>
  </si>
  <si>
    <t>00428</t>
  </si>
  <si>
    <t>Erdenetolgoi</t>
  </si>
  <si>
    <t>Эрдэнэтолгой</t>
  </si>
  <si>
    <t>БЗД 17 хороо Эрдэнэтолгой 35 гудамж 924ж тоот</t>
  </si>
  <si>
    <t>00435</t>
  </si>
  <si>
    <t>Dandarbaatariin gudamj</t>
  </si>
  <si>
    <t>Дандарбаатарын гудамж</t>
  </si>
  <si>
    <t>Баянзүрх дүүргийн 16 хороо Дандарын 2-р гудамжны 8 тоот</t>
  </si>
  <si>
    <t>00436</t>
  </si>
  <si>
    <t>Naran buudal</t>
  </si>
  <si>
    <t>Наран буудал</t>
  </si>
  <si>
    <t>Улаанбаатар Баянзүрх 22-р хороо Өлгий 11 гудамж 152 тоот</t>
  </si>
  <si>
    <t>00437</t>
  </si>
  <si>
    <t>Eco tuv</t>
  </si>
  <si>
    <t>Эко төв</t>
  </si>
  <si>
    <t>Нийслэлийн Сонгинохайрхан дүүргийн 2-р хороо, орбит 60 гудамж 6б тоот хаягт байршилтай</t>
  </si>
  <si>
    <t>00438</t>
  </si>
  <si>
    <t>Orkhon zakh</t>
  </si>
  <si>
    <t>Орхон зах</t>
  </si>
  <si>
    <t>00439</t>
  </si>
  <si>
    <t>Seven star</t>
  </si>
  <si>
    <t>Севен стар</t>
  </si>
  <si>
    <t>Нийслэлийн Хан-Уул дүүргийн 11-р хороо, “Севен стар” цогцолборын 4-р блок 1-р давхарт 1.15 тоот</t>
  </si>
  <si>
    <t>00440</t>
  </si>
  <si>
    <t>Khilchin kholboochdyn gudamj</t>
  </si>
  <si>
    <t>Хилчин холбоочидын гудамж</t>
  </si>
  <si>
    <t>Нийслэлийн Сонгинохайрхан дүүргийн 22-р хороо, Хилчин 26 гудамж, 1 тоот хаягт байршилтай</t>
  </si>
  <si>
    <t>00441</t>
  </si>
  <si>
    <t>Bayanzurkhiin tovchoo 2</t>
  </si>
  <si>
    <t>Баянзүрхийн товчоо 2</t>
  </si>
  <si>
    <t>Улаанбаатар хот Баянзүрх дүүрэг 11 хороо товчоо 6 гудамж 79а тоот</t>
  </si>
  <si>
    <t>00444</t>
  </si>
  <si>
    <t>Nalaikhiin etses</t>
  </si>
  <si>
    <t>Налайхын эцэс</t>
  </si>
  <si>
    <t>Налайх дүүргийн 8-р хороо, Жаргалант /12790/ Т. Дамдин гудамж 75 тоот</t>
  </si>
  <si>
    <t>00445</t>
  </si>
  <si>
    <t>Takhiltiin Etes</t>
  </si>
  <si>
    <t>Тахилтын эцэс</t>
  </si>
  <si>
    <t>00449</t>
  </si>
  <si>
    <t>Capital Tower</t>
  </si>
  <si>
    <t>Капитал Тауэр</t>
  </si>
  <si>
    <t>Хан-Уул дүүргийн 6-р хороо, Яармаг /17110/, наадамчдын Зам гудамж 198 байр 1 давхар тоот хаягт байршилтай</t>
  </si>
  <si>
    <t>00450</t>
  </si>
  <si>
    <t>Elim tower</t>
  </si>
  <si>
    <t>Элим тауэр</t>
  </si>
  <si>
    <t>00451</t>
  </si>
  <si>
    <t>Ikh Mongol plaza</t>
  </si>
  <si>
    <t>Их Монгол плаза</t>
  </si>
  <si>
    <t>Хан-Уул дүүргийн 11-р хороо, Стадион Оргил /17012/ 603 байр 1106 тоот</t>
  </si>
  <si>
    <t>00452</t>
  </si>
  <si>
    <t>MUONRT</t>
  </si>
  <si>
    <t>МҮОНРТ</t>
  </si>
  <si>
    <t>Баянгол дүүргийн 11-р хороо, Хувьсгалчдын зам-3-т байрлах өөрийн байранд байршилтай</t>
  </si>
  <si>
    <t>00453</t>
  </si>
  <si>
    <t>KHUD negdsen emneleg</t>
  </si>
  <si>
    <t>ХУД Нэгдсэн эмнэлэг</t>
  </si>
  <si>
    <t>Нийслэлийн Хан-Уул дүүргийн 4 дүгээр хороо, Арцатын 18-д байрлах Хан-Уул дүүргийн Нэгдсэн эмнэлгийн 1 дүгээр давхарт</t>
  </si>
  <si>
    <t>00454</t>
  </si>
  <si>
    <t>Nalaikh uurhaichdiin 1r gudamj</t>
  </si>
  <si>
    <t>Налайх уурхайчдын 1-р гудамж</t>
  </si>
  <si>
    <t>00457</t>
  </si>
  <si>
    <t>7 buudal Chingeltein uulzwar</t>
  </si>
  <si>
    <t>7 буудал Чингэлтэйн уулзвар</t>
  </si>
  <si>
    <t>Чингэлтэй дүүрэг 18-р хороо, чингэлтэй яргайт 37 гудамж 140 тоот хаягт байршилтай</t>
  </si>
  <si>
    <t>00460</t>
  </si>
  <si>
    <t>Undrakh tuw</t>
  </si>
  <si>
    <t>Ундрах төв</t>
  </si>
  <si>
    <t>Нийслэлийн Сонгинохайрхан дүүргийн 30-р хороо, чулуут 6 гудамж 1 тоот хаягт байршилтай</t>
  </si>
  <si>
    <t>00461</t>
  </si>
  <si>
    <t>Serene town</t>
  </si>
  <si>
    <t>Сэрэнэ таун</t>
  </si>
  <si>
    <t>Бзд н 37-хороо,Амгалан /13271/ Цагдаагийн академийн өргөн чөлөө гудамж 82/6-207 тоот</t>
  </si>
  <si>
    <t>00462</t>
  </si>
  <si>
    <t>Kharkhorin Piramid</t>
  </si>
  <si>
    <t>Хархорин Пирамид</t>
  </si>
  <si>
    <t>Нийслэлийн Сонгинохайрхан дүүргийн 16-р хороо 1 дүгээр хороолол 3 дугаар үйлчилгээний төвийн хэсэгт байршилтай</t>
  </si>
  <si>
    <t>00463</t>
  </si>
  <si>
    <t>Dambadarjaagiin gudamj</t>
  </si>
  <si>
    <t>Дамбадаржаагийн гудамж</t>
  </si>
  <si>
    <t>Нийслэлийн сүхбаатар дүүргийн 16-р хороо, бэлхийн 34 гудамж 6а тоот хаягт байршилтай</t>
  </si>
  <si>
    <t>00470</t>
  </si>
  <si>
    <t>Nalaikh T.Damdinii gudamj</t>
  </si>
  <si>
    <t>Налайх Т.Дамдины гудамж</t>
  </si>
  <si>
    <t>Налайх дүүргийн 2-р хороо, Жаргалант Дамдин гудамж 35 тоот хаяг</t>
  </si>
  <si>
    <t>00479</t>
  </si>
  <si>
    <t>CU khoolnii uildver</t>
  </si>
  <si>
    <t>CU Хоолны үйлдвэр</t>
  </si>
  <si>
    <t>Баянзүрх дүүрэг 11 хороо хонхрын 82 тоот</t>
  </si>
  <si>
    <t>00480</t>
  </si>
  <si>
    <t>Dund gol</t>
  </si>
  <si>
    <t>Дунд гол</t>
  </si>
  <si>
    <t>00481</t>
  </si>
  <si>
    <t>ITC</t>
  </si>
  <si>
    <t>Ай Ти Си</t>
  </si>
  <si>
    <t>Нийслэлийн Сүхбаатар дүүргийн 1-р хороо, Олимпийн гудамж, “АЙ ТИ СИ” барилгын 1 давхар</t>
  </si>
  <si>
    <t>00482</t>
  </si>
  <si>
    <t>Tara center</t>
  </si>
  <si>
    <t>Тара центр</t>
  </si>
  <si>
    <t>Нийслэлийн Хан-Уул дүүргийн 15-р хороо, Стадион Оргил /17011/, Нийслэл Хүрээ өргөн чөлөө 60/15 байр “Тара центр” үйлчилгээний төвийн А-107 тоот</t>
  </si>
  <si>
    <t>00489</t>
  </si>
  <si>
    <t>Ikh naran</t>
  </si>
  <si>
    <t>Их наран</t>
  </si>
  <si>
    <t>Нийслэлийн Сонгинохайрхан дүүргийн 36-р хороо, алтан овоо 1 гудамж 2 тоот хаягт байршилтай</t>
  </si>
  <si>
    <t>00490</t>
  </si>
  <si>
    <t>Khankhuhii</t>
  </si>
  <si>
    <t>Ханхөхий төв</t>
  </si>
  <si>
    <t>00494</t>
  </si>
  <si>
    <t>NC building</t>
  </si>
  <si>
    <t>Эн Си Бьюлдинг</t>
  </si>
  <si>
    <t>Нийслэлийн Сонгинохайрхан дүүргийн 29-р хороо, Москва хороолол 18071 москвагийн гудамж 3/1, 3/2 тоот хаягт байршилтай</t>
  </si>
  <si>
    <t>00498</t>
  </si>
  <si>
    <t>Yargait</t>
  </si>
  <si>
    <t>Яргайт</t>
  </si>
  <si>
    <t>Нийслэлийн Чингэлтэй дүүргийн 24-р хороо, яргайт /15051/ 17 дугаар хэсэг гудамж 1701/1 тоот хаягт байршилтай</t>
  </si>
  <si>
    <t>00499</t>
  </si>
  <si>
    <t>Bogd Villa</t>
  </si>
  <si>
    <t>Богд вилла</t>
  </si>
  <si>
    <t>Хан-Уул дүүргийн 4 -р хороо, Хүүшийн ам /17080/, Наадамчдын зам гудамж 1208 байр 2 дугаар орц 1-р давхар 2 тоот хаягт байршилтай</t>
  </si>
  <si>
    <t>00500</t>
  </si>
  <si>
    <t>Tsonjinboldog</t>
  </si>
  <si>
    <t>Цонжинболдог</t>
  </si>
  <si>
    <t>00503</t>
  </si>
  <si>
    <t>Turgenii am</t>
  </si>
  <si>
    <t>Түргэний ам</t>
  </si>
  <si>
    <t>Нийслэлийн Хан-Уул дүүргийн 14-р хороо, түргэний ам гудамж 71/20 тоот</t>
  </si>
  <si>
    <t>00504</t>
  </si>
  <si>
    <t>Norwuun rawa tuw</t>
  </si>
  <si>
    <t>Норвуун рава төв</t>
  </si>
  <si>
    <t>Нийслэлийн Сонгинохайрхан дүүргийн 40-р хороо, 0119 цэргийн анги 2 гудамж, 11 тоот хаягт байршилтай</t>
  </si>
  <si>
    <t>00505</t>
  </si>
  <si>
    <t>Zuchi hotel</t>
  </si>
  <si>
    <t>Зүчи зочид буудал</t>
  </si>
  <si>
    <t>Улаанбаатар, Хан уул, 1-р хороо 19-р хороолол чингисийн өргөн чөлөө 25а тоот</t>
  </si>
  <si>
    <t>00506</t>
  </si>
  <si>
    <t>Horeka tuw</t>
  </si>
  <si>
    <t>Хорека төв</t>
  </si>
  <si>
    <t>00507</t>
  </si>
  <si>
    <t>Zamd garay</t>
  </si>
  <si>
    <t>Замд гаръя</t>
  </si>
  <si>
    <t>00508</t>
  </si>
  <si>
    <t>Bayanbalbar</t>
  </si>
  <si>
    <t>Баянбалбар</t>
  </si>
  <si>
    <t>00509</t>
  </si>
  <si>
    <t>Shine Sansar zakh</t>
  </si>
  <si>
    <t>Шинэ Сансар зах</t>
  </si>
  <si>
    <t>Нийслэлийн Баянзүрх дүүргийн 7-р хороо, 15-р хороолол /13315/, б дорж гудамж 3/2 тоот</t>
  </si>
  <si>
    <t>00510</t>
  </si>
  <si>
    <t>Gachuurtiin etses</t>
  </si>
  <si>
    <t>Гачууртын эцэс</t>
  </si>
  <si>
    <t>Нийслэлийн Баянзүрх дүүргийн 20-р хороо Туулын хэсэг 383 тоот</t>
  </si>
  <si>
    <t>00513</t>
  </si>
  <si>
    <t>Ikh toiruu</t>
  </si>
  <si>
    <t>Их тойруу</t>
  </si>
  <si>
    <t>Нийслэлийн Баянзүрх дүүргийн 2 -р хороо, Хоршооллын хотхон /13361/ Их тойруу гуламж 60 байр, 1 давхар Б хэсэг тоот хаягт байршилтай</t>
  </si>
  <si>
    <t>00516</t>
  </si>
  <si>
    <t>Emeeltiin zam</t>
  </si>
  <si>
    <t>Эмээлтийн зам</t>
  </si>
  <si>
    <t>00517</t>
  </si>
  <si>
    <t>King tower 2</t>
  </si>
  <si>
    <t>Кинг тауэр 2</t>
  </si>
  <si>
    <t>Нийслэлийн Хан-Уул дүүргийн 17-р хороо, Стадион оргил /17012/ Их монгол улс гудамж 130байр 100/2Г тоот</t>
  </si>
  <si>
    <t>00518</t>
  </si>
  <si>
    <t>Terelj post</t>
  </si>
  <si>
    <t>Тэрэлжийн пост</t>
  </si>
  <si>
    <t>Нийслэлийн Налайх дүүргийн 1-р хороо, Мойлтын хүрд 15 тоот</t>
  </si>
  <si>
    <t>00519</t>
  </si>
  <si>
    <t>Khureelen</t>
  </si>
  <si>
    <t>ХҮРЭЭЛЭН</t>
  </si>
  <si>
    <t>Нийслэлийн Баянзүрх дүүргийн 26-р хороо, Нарлаг өргөө хотхон /13312/ Нийслэл хүрээ өргөн чөлөө гудамж 724 байр 1давхар 1тоот</t>
  </si>
  <si>
    <t>00520</t>
  </si>
  <si>
    <t>Sakura building</t>
  </si>
  <si>
    <t>Сакура бьюлдинг</t>
  </si>
  <si>
    <t>Нийслэлийн Баянзүрх дүүргийн 26-р хороо, Их монгол улсын гудамж-202 Сакура бьюлдинг 1-р давхар</t>
  </si>
  <si>
    <t>00521</t>
  </si>
  <si>
    <t>Tuul tuv</t>
  </si>
  <si>
    <t>Туул төв</t>
  </si>
  <si>
    <t>Нийслэлийн Баянгол дүүргийн 20-р хороо, Үйлдвэрийн баруун бүс /16103/ Эрчим хүч гудамж, 5 тоот</t>
  </si>
  <si>
    <t>00522</t>
  </si>
  <si>
    <t>61-n garam</t>
  </si>
  <si>
    <t>61-н гарам</t>
  </si>
  <si>
    <t>00525</t>
  </si>
  <si>
    <t>Tok center</t>
  </si>
  <si>
    <t>Ток центр</t>
  </si>
  <si>
    <t>Нийслэлийн Баянзүрх дүүргийн 38 -р хороо, шархад /13280/ хилчний гудамж 431 байр 1 давхар</t>
  </si>
  <si>
    <t>00526</t>
  </si>
  <si>
    <t>Nomuun hothon</t>
  </si>
  <si>
    <t>Номуун хотхон</t>
  </si>
  <si>
    <t>Нийслэлийн Сүхбаатар дүүргийн 3 -р хороо, 5-р хороолол /14252/, XD-37 дугаар байрны V-1 тоот</t>
  </si>
  <si>
    <t>00527</t>
  </si>
  <si>
    <t>Evel apartment</t>
  </si>
  <si>
    <t>Эвэл апартмент</t>
  </si>
  <si>
    <t>Нийслэлийн Хан-Уул дүүргийн 21 -р хороо, Буянт ухаа хороолол /17121/ архивчдын гудамж 435 байр 1-р давхар, 102 тоот</t>
  </si>
  <si>
    <t>00528</t>
  </si>
  <si>
    <t>Batlan khamgaalahiin ih surguu</t>
  </si>
  <si>
    <t>Батлан хамгаалахын их сургууль</t>
  </si>
  <si>
    <t>БЗД, 26 дугаар хороо Улаанхуаранд байрлах Үндэсний батлан хамгаалахын их сургууль</t>
  </si>
  <si>
    <t>00529</t>
  </si>
  <si>
    <t>Batsumber</t>
  </si>
  <si>
    <t>Батсүмбэр</t>
  </si>
  <si>
    <t>Батсүмбэр сум</t>
  </si>
  <si>
    <t>Төв аймгийн Батсүмбэр сумын 1-р баг, Мандал худалдаа гудамж 533 тоот</t>
  </si>
  <si>
    <t>00530</t>
  </si>
  <si>
    <t>Iris residence</t>
  </si>
  <si>
    <t>Айрис ресиденс</t>
  </si>
  <si>
    <t>00532</t>
  </si>
  <si>
    <t>Zuunmod 1000 ail</t>
  </si>
  <si>
    <t>Зуунмод 1000айл</t>
  </si>
  <si>
    <t>00535</t>
  </si>
  <si>
    <t>Erchim</t>
  </si>
  <si>
    <t>Эрчим</t>
  </si>
  <si>
    <t>Нийслэлийн Хан-уул дүүргийн 3-р хороо, Үйлдвэр /17060/, Чингисийн өргөн чөлөө гудамж 32 тоот</t>
  </si>
  <si>
    <t>00539</t>
  </si>
  <si>
    <t>Emeeltiin zam 2</t>
  </si>
  <si>
    <t>Эмээлтийн зам 2</t>
  </si>
  <si>
    <t>Нийслэлийн Сонгино дүүргийн 32-р хороо, эмээлт 18400 гудамж 38/1,38/2 тоот</t>
  </si>
  <si>
    <t>00540</t>
  </si>
  <si>
    <t>Sonne plaza</t>
  </si>
  <si>
    <t>Сонне плаза</t>
  </si>
  <si>
    <t>Нийслэлийн баянгол дүүргийн 9-р хороо 3-р хороолол аюушийн өргөн чөлөө гудамж 71 тоот</t>
  </si>
  <si>
    <t>00543</t>
  </si>
  <si>
    <t>Teh munkh</t>
  </si>
  <si>
    <t>Тэх Мөнх</t>
  </si>
  <si>
    <t>Баянгол дүүрэг 20-р хороо, Үйлдвэрийн баруун бүс /16100/, эрчим хүч гудамж 72 тоот</t>
  </si>
  <si>
    <t>00544</t>
  </si>
  <si>
    <t>Orchlon horoolol 2</t>
  </si>
  <si>
    <t>Орчлон хороолол 2</t>
  </si>
  <si>
    <t>Нийслэлийн Сонгинохайрхан дүүргийн 4-р хороо, их наран 8 гудамж 53б тоот</t>
  </si>
  <si>
    <t>00545</t>
  </si>
  <si>
    <t>220 myngat</t>
  </si>
  <si>
    <t>220 мянгат салбар</t>
  </si>
  <si>
    <t>Нийслэлийн Сүхбаатар дүүргийн 1-р хороо, 220 мянгат, 1 байр 48 тоот</t>
  </si>
  <si>
    <t>00546</t>
  </si>
  <si>
    <t>Moringiin zam</t>
  </si>
  <si>
    <t>Морингийн зам</t>
  </si>
  <si>
    <t>Нийслэлийн Хан-Уул дүүргийн 10-р хороо, морин гудамж 36 тоот</t>
  </si>
  <si>
    <t>00548</t>
  </si>
  <si>
    <t>Pearl tower</t>
  </si>
  <si>
    <t>Пийрл тауэр</t>
  </si>
  <si>
    <t>00550</t>
  </si>
  <si>
    <t>Chingisiin urgun chuluu</t>
  </si>
  <si>
    <t>Чингисийн өргөн чөлөө</t>
  </si>
  <si>
    <t>Нийслэлийн Хан-Уул дүүргийн 3-р хороо, Үйлдвэр/17042/, чингисийн өргөн чөлөө гудамж 49/1 тоот</t>
  </si>
  <si>
    <t>00552</t>
  </si>
  <si>
    <t>13-r khoroolol</t>
  </si>
  <si>
    <t>13-р хороолол</t>
  </si>
  <si>
    <t>Нийслэлийн Баянзүрх дүүргийн 15 дугаар хороо 13 дугаар хороолол Энхтайваны өргөн чөлөө-41 тоот</t>
  </si>
  <si>
    <t>00553</t>
  </si>
  <si>
    <t>Dari - Ekh Moneliin uulzv</t>
  </si>
  <si>
    <t>Дарь-Эх, Монелийн уулзвар</t>
  </si>
  <si>
    <t>00555</t>
  </si>
  <si>
    <t>Titan Plus</t>
  </si>
  <si>
    <t>Титан Плас</t>
  </si>
  <si>
    <t>Улаанбаатар хот, Хан-Уул дүүрэг, 5-р хороо. Наадамчдын зам гудамж 927/1 байр, 1-р давхар 103 тоот</t>
  </si>
  <si>
    <t>00556</t>
  </si>
  <si>
    <t>Uliastai shine etses</t>
  </si>
  <si>
    <t>Улиастай шинэ эцэс</t>
  </si>
  <si>
    <t>00557</t>
  </si>
  <si>
    <t>Bayanburdiin toirog</t>
  </si>
  <si>
    <t>Баянбүрдийн тойрог</t>
  </si>
  <si>
    <t>Нийслэлийн Чингэлтэй дүүргийн 9-р хороо, дэнж 1 гудамж 0013 тоот</t>
  </si>
  <si>
    <t>00558</t>
  </si>
  <si>
    <t>Khan tugul</t>
  </si>
  <si>
    <t>Хан төгөл</t>
  </si>
  <si>
    <t>Нийслэлийн Хан- уул дүүргийн 23-р хороо, Нүхтийн ам /17090/ нүхтийн зам гудамж 1251 тоот</t>
  </si>
  <si>
    <t>00560</t>
  </si>
  <si>
    <t>Khubilai</t>
  </si>
  <si>
    <t>Хубилай</t>
  </si>
  <si>
    <t>Нийслэлийн Хан-Уул дүүргийн 8-р хороо, Морин тойруулга, наадамчдын талбай /17101/, наадамчдын Зам гудамж цтп 461 тоот</t>
  </si>
  <si>
    <t>00564</t>
  </si>
  <si>
    <t>Orshil center</t>
  </si>
  <si>
    <t>Оршил центр</t>
  </si>
  <si>
    <t>Нийслэлийн Баянзүрх дүүргийн 3-р хороо, Токио /13381/ гудамж 45/a барилгын байр, Зоорийн давхар 1 1тоот</t>
  </si>
  <si>
    <t>00565</t>
  </si>
  <si>
    <t>3-r emnelegiin khoid buudal</t>
  </si>
  <si>
    <t>3-р эмнэлэгийн хойд буудал</t>
  </si>
  <si>
    <t>Нийслэлийн Баянгол дүүргийн 5-р хороо, 10 дугаар хороолол /16081/, Энхтайваны өргөн чөлөө 119 дүгээр байрны 1 дүгээр давхарын 3 тоот</t>
  </si>
  <si>
    <t>00566</t>
  </si>
  <si>
    <t>OU-n Ulaanbaatar ikh surguuli</t>
  </si>
  <si>
    <t>ОУ-н Улаанбаатар их сургууль</t>
  </si>
  <si>
    <t>Нийслэлийн Баянзүрх дүүргийн 42-р хороо, 14-р хороолол/13336/, намъяанжүгийн гудамж 35 тоот</t>
  </si>
  <si>
    <t>00567</t>
  </si>
  <si>
    <t>Ajilchnii gudamj</t>
  </si>
  <si>
    <t>Ажилчны гудамж</t>
  </si>
  <si>
    <t>Нийслэлийн Хан-Уул дүүргийн 3-р хороо, Үйлдвэрийн баруун бүс Ажилчны гудамж 14 байр, 101 тоот</t>
  </si>
  <si>
    <t>00571</t>
  </si>
  <si>
    <t>Dari ekh 33</t>
  </si>
  <si>
    <t>Дарь эх 33</t>
  </si>
  <si>
    <t>Нийслэлийн Сүхбаатар дүүргийн 16-р хороо, бэлхийн 17 гудамж 414 тоот</t>
  </si>
  <si>
    <t>00574</t>
  </si>
  <si>
    <t>Botanikiin etses</t>
  </si>
  <si>
    <t>Ботаникийн эцэс</t>
  </si>
  <si>
    <t>Нийслэлийн Баянзүрх дүүргийн 8-р хороо, Энхтайвны өргөн чөлөө 250 тоот</t>
  </si>
  <si>
    <t>00576</t>
  </si>
  <si>
    <t>Selenge zakh</t>
  </si>
  <si>
    <t>Сэлэнгэ зах</t>
  </si>
  <si>
    <t>Нийслэлийн Сонгинохайрхан дүүргийн 20-р хороо, нефть 1 гудамж 42 тоот</t>
  </si>
  <si>
    <t>00577</t>
  </si>
  <si>
    <t>Chingeltein gudamj</t>
  </si>
  <si>
    <t>Чингэлтэйн гудамж</t>
  </si>
  <si>
    <t>Нийслэлийн чингэлтэй дүүргийн 18-р хороо, яргайт 33 гудамж, 808-б тоот</t>
  </si>
  <si>
    <t>00578</t>
  </si>
  <si>
    <t>Naiman sharga</t>
  </si>
  <si>
    <t>Найман шарга</t>
  </si>
  <si>
    <t>Нийслэлийн Чингэлтэй дүүргийн 2-р хороо, 40 50 мянгат /15171/ Төмөрчийн гудамж, 18 байр зоорийн ба 1-р давхар тоот</t>
  </si>
  <si>
    <t>00580</t>
  </si>
  <si>
    <t>River castle</t>
  </si>
  <si>
    <t>Ривэр кастл</t>
  </si>
  <si>
    <t>00581</t>
  </si>
  <si>
    <t>Ulzii tuv</t>
  </si>
  <si>
    <t>Өлзий төв</t>
  </si>
  <si>
    <t>00582</t>
  </si>
  <si>
    <t>Zuun khuree khotkhon</t>
  </si>
  <si>
    <t>Зүүн хүрээ хотхон</t>
  </si>
  <si>
    <t>00583</t>
  </si>
  <si>
    <t>Sharhadnii gudamj</t>
  </si>
  <si>
    <t>Шархадны гудамж</t>
  </si>
  <si>
    <t>Нийслэлийн Баянзүрх дүүргийн 17-р хороо, Эрдэнэ толгой 29 гудамж 772 тоот хаягт байршилтай</t>
  </si>
  <si>
    <t>00584</t>
  </si>
  <si>
    <t>Haniin material</t>
  </si>
  <si>
    <t>Ханын материал</t>
  </si>
  <si>
    <t>Нийслэлийн Сонгинохайрхан дүүргийн 6-р хороо, ханын материал гудамж хд-56 тоот хаягт байршилтай</t>
  </si>
  <si>
    <t>00585</t>
  </si>
  <si>
    <t>Summit zochid buudal</t>
  </si>
  <si>
    <t>Саммит зочид буудал</t>
  </si>
  <si>
    <t>Нийслэлийн Баянгол дүүргийн 7 дугаар хороо 3 дугаар хороолол /16094/, Ард Аюушийн өргөн чөлөө 73 тоот</t>
  </si>
  <si>
    <t>00586</t>
  </si>
  <si>
    <t>32-n toirog</t>
  </si>
  <si>
    <t>32-н тойрог</t>
  </si>
  <si>
    <t>Нийслэлийн Сүхбаатар дүүргийн 12-р хороо, хангайн 15 гудамж 579а тоот</t>
  </si>
  <si>
    <t>00587</t>
  </si>
  <si>
    <t>Luvsantseveen Street</t>
  </si>
  <si>
    <t>Лувсанцэвээний гудамж</t>
  </si>
  <si>
    <t>Баянзүрх дүүрэг, 41-р хороо, Өлгий 28 гудамж 365 б тоот</t>
  </si>
  <si>
    <t>00588</t>
  </si>
  <si>
    <t>Femida</t>
  </si>
  <si>
    <t>Фемида салбар</t>
  </si>
  <si>
    <t>Нийслэлийн Хан-Уул дүүргийн 21-р хороо, Буянт-ухаа хороолол /17121/, архивчдын гудамж 691 байр 1-р давхар У-14 тоот</t>
  </si>
  <si>
    <t>00589</t>
  </si>
  <si>
    <t>Tovchoonii zam-3</t>
  </si>
  <si>
    <t>Товчооны зам-3</t>
  </si>
  <si>
    <t>00590</t>
  </si>
  <si>
    <t>Ikh toiruu 2</t>
  </si>
  <si>
    <t>Их тойруу 2</t>
  </si>
  <si>
    <t>Нийслэлийн Сүхбаатар дүүргийн 9-р хороо, Их тойруу, 78/1 тоот</t>
  </si>
  <si>
    <t>00592</t>
  </si>
  <si>
    <t>Amar tuw</t>
  </si>
  <si>
    <t>Амар төв</t>
  </si>
  <si>
    <t>Нийслэлийн Сүхбаатар дүүргийн 13-р хороо, 5 буудал /14160/, ногоон талбай 7 гудамж 1 дугаартай барилгын нэгдүгээр давхар, зоорийн давхар тоот</t>
  </si>
  <si>
    <t>00593</t>
  </si>
  <si>
    <t>Narnii titem</t>
  </si>
  <si>
    <t>Нарны титэм</t>
  </si>
  <si>
    <t>Нийслэлийн Чингэлтэй дүүргийн 5-р хороо, 6 хороолол 15141, самбуугийн гудамж 14 тоот</t>
  </si>
  <si>
    <t>00594</t>
  </si>
  <si>
    <t>13-n hoid buudal</t>
  </si>
  <si>
    <t>13-н хойд буудал</t>
  </si>
  <si>
    <t>Нийслэлийн Баянзүрх дүүргийн 3-р хороо, 12-р хороолол, /13381/ Энхтайваны өргөн чөлөө гудамж, 49/2 тоот 1-р давхар</t>
  </si>
  <si>
    <t>00595</t>
  </si>
  <si>
    <t>Baruun salaa</t>
  </si>
  <si>
    <t>Баруун салаа</t>
  </si>
  <si>
    <t>Нийслэлийн Сонгинохайрхан дүүргийн 26-р хороо, мандал овоо 39 гудамж 50 тоот</t>
  </si>
  <si>
    <t>00596</t>
  </si>
  <si>
    <t>57-n buudal</t>
  </si>
  <si>
    <t>57-н буудал</t>
  </si>
  <si>
    <t>Нийслэлийн Сүхбаатар дүүргийн 9-р хороо, нуурын 8 гудамж 104 тоот</t>
  </si>
  <si>
    <t>00598</t>
  </si>
  <si>
    <t>Нийслэлийн Баянгол дүүргийн 29-р хороо, эрчим хүчний гудамж -1 /16100/ 45/12б тоот</t>
  </si>
  <si>
    <t>Depot</t>
  </si>
  <si>
    <t>Truck ID</t>
  </si>
  <si>
    <t>Description</t>
  </si>
  <si>
    <t>Capacity_kg</t>
  </si>
  <si>
    <t>Capacity_m3</t>
  </si>
  <si>
    <t>Fuel cost per km</t>
  </si>
  <si>
    <t>Vehicle cost per day</t>
  </si>
  <si>
    <t>Labor cost per day</t>
  </si>
  <si>
    <t>Dry DC</t>
  </si>
  <si>
    <t>D1</t>
  </si>
  <si>
    <t>ISUZU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</si>
  <si>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</si>
  <si>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</si>
  <si>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</si>
  <si>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</si>
  <si>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</si>
  <si>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</si>
  <si>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</si>
  <si>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</si>
  <si>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</si>
  <si>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</si>
  <si>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</si>
  <si>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</si>
  <si>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</si>
  <si>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</si>
  <si>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</si>
  <si>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</si>
  <si>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</si>
  <si>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</si>
  <si>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</si>
  <si>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</si>
  <si>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</si>
  <si>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</si>
  <si>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</si>
  <si>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</si>
  <si>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</si>
  <si>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</si>
  <si>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</si>
  <si>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</si>
  <si>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</si>
  <si>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</si>
  <si>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</si>
  <si>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</si>
  <si>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</si>
  <si>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</si>
  <si>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</si>
  <si>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</si>
  <si>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Cold DC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</si>
  <si>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</si>
  <si>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</si>
  <si>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</si>
  <si>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</si>
  <si>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</si>
  <si>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</si>
  <si>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</si>
  <si>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</si>
  <si>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</si>
  <si>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</si>
  <si>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</si>
  <si>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</si>
  <si>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</si>
  <si>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</si>
  <si>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</si>
  <si>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</si>
  <si>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</si>
  <si>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</si>
  <si>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</si>
  <si>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</si>
  <si>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</si>
  <si>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</si>
  <si>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</si>
  <si>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</si>
  <si>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</si>
  <si>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</si>
  <si>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</si>
  <si>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</si>
  <si>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</si>
  <si>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</si>
  <si>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</si>
  <si>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</si>
  <si>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</si>
  <si>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</si>
  <si>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</si>
  <si>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</si>
  <si>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</si>
  <si>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</si>
  <si>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</si>
  <si>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</si>
  <si>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</si>
  <si>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</si>
  <si>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</si>
  <si>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</si>
  <si>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</si>
  <si>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</si>
  <si>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</si>
  <si>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</si>
  <si>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</si>
  <si>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</si>
  <si>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</si>
  <si>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</si>
  <si>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</si>
  <si>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</si>
  <si>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</si>
  <si>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</si>
  <si>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</si>
  <si>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</si>
  <si>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</si>
  <si>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</si>
  <si>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Fleet</t>
  </si>
  <si>
    <t>Hello</t>
  </si>
  <si>
    <t>Truck Num</t>
  </si>
  <si>
    <t>54-39 УКМ</t>
  </si>
  <si>
    <t>75-24 УКМ</t>
  </si>
  <si>
    <t>75-28 УКМ</t>
  </si>
  <si>
    <t>74-68 УКМ</t>
  </si>
  <si>
    <t>54-88 УКМ</t>
  </si>
  <si>
    <t>75-27 УКМ</t>
  </si>
  <si>
    <t>63-21 УБТ</t>
  </si>
  <si>
    <t>83-24 УКМ</t>
  </si>
  <si>
    <t>80-29 УКМ</t>
  </si>
  <si>
    <t>96-51 УНӨ</t>
  </si>
  <si>
    <t>56-58 УКМ</t>
  </si>
  <si>
    <t>98-18 УБС</t>
  </si>
  <si>
    <t>67-31 УБК</t>
  </si>
  <si>
    <t>58-31 УБЧ</t>
  </si>
  <si>
    <t>83-27 УКМ</t>
  </si>
  <si>
    <t>53-67 УКМ</t>
  </si>
  <si>
    <t>69-46 УКМ</t>
  </si>
  <si>
    <t>66-12 УКН</t>
  </si>
  <si>
    <t>74-82 УКМ</t>
  </si>
  <si>
    <t>69-27 УКМ</t>
  </si>
  <si>
    <t>13-76 УБГ</t>
  </si>
  <si>
    <t>74-83 УКМ</t>
  </si>
  <si>
    <t>58-80 УКМ</t>
  </si>
  <si>
    <t>42-89 УБТ</t>
  </si>
  <si>
    <t>69-22 УКМ</t>
  </si>
  <si>
    <t>80-39 УКМ</t>
  </si>
  <si>
    <t>76-52 УНИ</t>
  </si>
  <si>
    <t>75-21 УКМ</t>
  </si>
  <si>
    <t>54-28 УКМ</t>
  </si>
  <si>
    <t>57-79 УКМ</t>
  </si>
  <si>
    <t>74-81 УКМ</t>
  </si>
  <si>
    <t>54-91 УАВ</t>
  </si>
  <si>
    <t>53-46 УКМ</t>
  </si>
  <si>
    <t>66-03 УКН</t>
  </si>
  <si>
    <t>80-34 УКМ</t>
  </si>
  <si>
    <t>75-19 УКМ</t>
  </si>
  <si>
    <t>74-85 УКМ</t>
  </si>
  <si>
    <t>93-60 УЕТ</t>
  </si>
  <si>
    <t>58-39 УКН</t>
  </si>
  <si>
    <t>86-28 УКР</t>
  </si>
  <si>
    <t>86-48 УКР</t>
  </si>
  <si>
    <t>KIA Bongo3</t>
  </si>
  <si>
    <t>Mitsubishi Fuso</t>
  </si>
  <si>
    <t>81-89 УКН</t>
  </si>
  <si>
    <t>Hino Ranger</t>
  </si>
  <si>
    <t>44-80 УНК</t>
  </si>
  <si>
    <t>Toyata Hiace</t>
  </si>
  <si>
    <t>Hyundai Mighty</t>
  </si>
  <si>
    <t>93-53 УБҮ</t>
  </si>
  <si>
    <t>93-52 УЕМ</t>
  </si>
  <si>
    <t>32-01 УНИ</t>
  </si>
  <si>
    <t>37-52 УАО</t>
  </si>
  <si>
    <t>62-78 УКО</t>
  </si>
  <si>
    <t>18-73 УНЕ</t>
  </si>
  <si>
    <t>32-52 УББ</t>
  </si>
  <si>
    <t>86-16 УКН</t>
  </si>
  <si>
    <t>50-64 УЕМ</t>
  </si>
  <si>
    <t>50-31 УАМ</t>
  </si>
  <si>
    <t>New discovery</t>
  </si>
  <si>
    <t>95-29 УКН</t>
  </si>
  <si>
    <t>94-80 УКН</t>
  </si>
  <si>
    <t>Hyundai</t>
  </si>
  <si>
    <t>50-91 УКН</t>
  </si>
  <si>
    <t>APA</t>
  </si>
  <si>
    <t>84-97 УКУ</t>
  </si>
  <si>
    <t>C41</t>
  </si>
  <si>
    <t>C42</t>
  </si>
  <si>
    <t>C44</t>
  </si>
  <si>
    <t>C45</t>
  </si>
  <si>
    <t>C47</t>
  </si>
  <si>
    <t>C48</t>
  </si>
  <si>
    <t>C49</t>
  </si>
  <si>
    <t>C50</t>
  </si>
  <si>
    <t>C52</t>
  </si>
  <si>
    <t>C54</t>
  </si>
  <si>
    <t>C56</t>
  </si>
  <si>
    <t>C57</t>
  </si>
  <si>
    <t>C43</t>
  </si>
  <si>
    <t>C46</t>
  </si>
  <si>
    <t>C51</t>
  </si>
  <si>
    <t>C53</t>
  </si>
  <si>
    <t>C55</t>
  </si>
  <si>
    <t>78-43 УКМ</t>
  </si>
  <si>
    <t>71-32 УКМ</t>
  </si>
  <si>
    <t>20-63 УЕУ</t>
  </si>
  <si>
    <t>94-02 УКН</t>
  </si>
  <si>
    <t>64-33 УБТ</t>
  </si>
  <si>
    <t>66-01 УКН</t>
  </si>
  <si>
    <t>66-09 УКН</t>
  </si>
  <si>
    <t>66-02 УКН</t>
  </si>
  <si>
    <t>64-36 УБТ</t>
  </si>
  <si>
    <t>66-07 УКН</t>
  </si>
  <si>
    <t>66-04 УКН</t>
  </si>
  <si>
    <t>94-03 УКМ</t>
  </si>
  <si>
    <t>83-29 УКМ</t>
  </si>
  <si>
    <t>38-01 УНД</t>
  </si>
  <si>
    <t>67-41 УНГ</t>
  </si>
  <si>
    <t>83-26 УКМ</t>
  </si>
  <si>
    <t>66-10 УКН</t>
  </si>
  <si>
    <t>84-31 УБН</t>
  </si>
  <si>
    <t>26-51 УБМ</t>
  </si>
  <si>
    <t>09-62 УАМ</t>
  </si>
  <si>
    <t>09-78 УЕО</t>
  </si>
  <si>
    <t>09-56 УЕВ</t>
  </si>
  <si>
    <t>88-76 УАК</t>
  </si>
  <si>
    <t>88-75 УАВ</t>
  </si>
  <si>
    <t>09-63 УЕУ</t>
  </si>
  <si>
    <t>07-56 УЕЕ</t>
  </si>
  <si>
    <t>09-54 УЕН</t>
  </si>
  <si>
    <t>09-52 УАВ</t>
  </si>
  <si>
    <t>09-55 УЕХ</t>
  </si>
  <si>
    <t>98-33 УНМ</t>
  </si>
  <si>
    <t>08-59 УАТ</t>
  </si>
  <si>
    <t>09-51 УАС</t>
  </si>
  <si>
    <t>08-66 УБВ</t>
  </si>
  <si>
    <t>08-57 УБК</t>
  </si>
  <si>
    <t>68-10 УБЗ</t>
  </si>
  <si>
    <t>08-56 УБЯ</t>
  </si>
  <si>
    <t>07-55 УЕВ</t>
  </si>
  <si>
    <t>08-72 УНР</t>
  </si>
  <si>
    <t>08-62 УЕВ</t>
  </si>
  <si>
    <t>Hyundai porter2</t>
  </si>
  <si>
    <t>Summer Avarage Order</t>
  </si>
  <si>
    <t>CBM (DRY DC)</t>
  </si>
  <si>
    <t>Weight (DRY DC)</t>
  </si>
  <si>
    <t>CBM (COLD DC)</t>
  </si>
  <si>
    <t>Weight (COLD DC)</t>
  </si>
  <si>
    <t>Autumn Avarage Order</t>
  </si>
  <si>
    <t>Winter Avarage Order</t>
  </si>
  <si>
    <t>Spring Avarage Order</t>
  </si>
  <si>
    <t>00280</t>
  </si>
  <si>
    <t>Darkhan uilchilgeenii tuv</t>
  </si>
  <si>
    <t>Дархан үйлчилгээний төв</t>
  </si>
  <si>
    <t>Дархан хот</t>
  </si>
  <si>
    <t>Дархан-Уул аймаг, Дархан сумын 16-р багт байрлах үйлчилгээний төв</t>
  </si>
  <si>
    <t>00289</t>
  </si>
  <si>
    <t>Bayanchandmani</t>
  </si>
  <si>
    <t>Баянчандмань</t>
  </si>
  <si>
    <t>Баянчандмань сум</t>
  </si>
  <si>
    <t>Төв аймаг, Баянчандмань сум, 1-р баг, Чандмань төв 1 гудамж, 100 тоот</t>
  </si>
  <si>
    <t>00294</t>
  </si>
  <si>
    <t>Twin park</t>
  </si>
  <si>
    <t>Твин Парк хотхон</t>
  </si>
  <si>
    <t>Дархан-Уул аймаг, Дархан сумын 14-р баг, олимпийн-2 гудамж 200/2 байр, 1 давхар</t>
  </si>
  <si>
    <t>00303</t>
  </si>
  <si>
    <t>F Amu mall</t>
  </si>
  <si>
    <t>F Аму молл</t>
  </si>
  <si>
    <t>Дархан-Уул аймаг, Дархан сум, 14 баг, Ардын өргөн чөлөө 2, 207 тоот</t>
  </si>
  <si>
    <t>00309</t>
  </si>
  <si>
    <t>Erdenet uilchilgeenii tuv</t>
  </si>
  <si>
    <t>Эрдэнэт үйлчилгээний төв</t>
  </si>
  <si>
    <t>Эрдэнэт хот</t>
  </si>
  <si>
    <t>Орхон аймаг, Баян-Өндөр сум, 3-р баг, Уурхайчин 3 хороолол, 17-р байр</t>
  </si>
  <si>
    <t>00311</t>
  </si>
  <si>
    <t>Tugul Ikh Delguur</t>
  </si>
  <si>
    <t>Төгөл их дэлгүүр</t>
  </si>
  <si>
    <t>Орхон аймаг Баян-Өндөр сум, Уурхайчны баг, Төгөл худалдаан төв</t>
  </si>
  <si>
    <t>00319</t>
  </si>
  <si>
    <t>Erdenet-Bulgani zam</t>
  </si>
  <si>
    <t>Эрдэнэт-Булганы зам</t>
  </si>
  <si>
    <t>Орхон, Баян-Өндөр сум, 21-р баг, Уртын гол, Баянзам, 3 гудамж 4 тоот</t>
  </si>
  <si>
    <t>00322</t>
  </si>
  <si>
    <t>Baganuuriin zam</t>
  </si>
  <si>
    <t>Багануурын зам</t>
  </si>
  <si>
    <t>Багануур дүүрэг</t>
  </si>
  <si>
    <t>Багануур дүүрэг, 2 -р хороо, үйлдвэр хэсэг /12151/ гудамж, 46 тоот</t>
  </si>
  <si>
    <t>00326</t>
  </si>
  <si>
    <t>Bayan khudaldani tuv</t>
  </si>
  <si>
    <t>Баян худалдааны төв</t>
  </si>
  <si>
    <t>00330</t>
  </si>
  <si>
    <t>Baganuur</t>
  </si>
  <si>
    <t>Багануур</t>
  </si>
  <si>
    <t>Багануур дүүрэг 3-р хороо Нацагдоржийн гудамж 64/2</t>
  </si>
  <si>
    <t>00335</t>
  </si>
  <si>
    <t>Tsuurai Tso</t>
  </si>
  <si>
    <t>Цуурай Цо</t>
  </si>
  <si>
    <t>Дархан-Уул аймаг, Дархан сум, 12-р баг, Эрчим хүчний 4 гудамж , 404 тоот</t>
  </si>
  <si>
    <t>00336</t>
  </si>
  <si>
    <t>Baruunkharaa</t>
  </si>
  <si>
    <t>Баруунхараа</t>
  </si>
  <si>
    <t>Баянгол сум</t>
  </si>
  <si>
    <t>Сэлэнгэ аймаг, Баянгол сум, Хараа 1-р баг</t>
  </si>
  <si>
    <t>00340</t>
  </si>
  <si>
    <t>Sonor khairkhan tuv</t>
  </si>
  <si>
    <t>Сонор хайрхан төв</t>
  </si>
  <si>
    <t>Орхон аймаг, Баян-Өндөр сум, Согоот баг, Баруун дөрвөн зам, Хаан банкны урд, 6020 тоот</t>
  </si>
  <si>
    <t>00343</t>
  </si>
  <si>
    <t>Khar khorin sum</t>
  </si>
  <si>
    <t>Хар хорин сум</t>
  </si>
  <si>
    <t>Хархорин сум</t>
  </si>
  <si>
    <t>Өвөрхангай аймаг, Хархорин сум, 2-р баг, Ганган-Орхон Эрдэнэзуу,1 гудамж, 25/107 тоот</t>
  </si>
  <si>
    <t>00344</t>
  </si>
  <si>
    <t>Lun sum</t>
  </si>
  <si>
    <t>Лүн сум</t>
  </si>
  <si>
    <t>Төв аймаг, Лүн сум, 3-р баг, Хөх даваа</t>
  </si>
  <si>
    <t>00348</t>
  </si>
  <si>
    <t>Choir</t>
  </si>
  <si>
    <t>Чойр</t>
  </si>
  <si>
    <t>Чойр хот</t>
  </si>
  <si>
    <t>Говьсүмбэр аймаг, Сүмбэр сум, 3-р баг, “Сод Монгол” ХХК-ийн ШТС-ын урд талд</t>
  </si>
  <si>
    <t>00353</t>
  </si>
  <si>
    <t>Modun</t>
  </si>
  <si>
    <t>Модун</t>
  </si>
  <si>
    <t>Хэрлэн сум</t>
  </si>
  <si>
    <t>00363</t>
  </si>
  <si>
    <t>Molor-Erdene</t>
  </si>
  <si>
    <t>Молор-Эрдэнэ</t>
  </si>
  <si>
    <t>Орхон аймаг, Баян-Өндөр сум, Эрдэнэт хот, 5-р баг, Уртбулаг 5хороолол, Сүхбаатар 1 гудамж, 107-р байр 1давхар</t>
  </si>
  <si>
    <t>00366</t>
  </si>
  <si>
    <t>Zuunkharaa city center</t>
  </si>
  <si>
    <t>Зүүнхараа сити центр</t>
  </si>
  <si>
    <t>Мандал сум</t>
  </si>
  <si>
    <t>Сэлэнгэ аймаг, Мандал сум, 2-р баг, Ширхэнцэг үйлдвэр 2-р гудамж, 200 а байр, С-01 тоот.</t>
  </si>
  <si>
    <t>00381</t>
  </si>
  <si>
    <t>Zamin-Uud</t>
  </si>
  <si>
    <t>Замын-Үүд</t>
  </si>
  <si>
    <t>Замын-үүд</t>
  </si>
  <si>
    <t>Дорноговь аймгийн Замын-үүд сумын 1-р баг цагдаагийн хэсгийн урд</t>
  </si>
  <si>
    <t>00382</t>
  </si>
  <si>
    <t>Bayanchandmani 2</t>
  </si>
  <si>
    <t>Баянчандмань 2</t>
  </si>
  <si>
    <t>00386</t>
  </si>
  <si>
    <t>Tsenkhermandal</t>
  </si>
  <si>
    <t>Цэнхэрмандал</t>
  </si>
  <si>
    <t>Цэнхэрмандал сум</t>
  </si>
  <si>
    <t>00400</t>
  </si>
  <si>
    <t>Khukh Chuluut</t>
  </si>
  <si>
    <t>Хөх Чулуут</t>
  </si>
  <si>
    <t>Сүхбаатар сум</t>
  </si>
  <si>
    <t>Сэлэнгэ аймаг Сүхбаатар сум 7 баг Ган зам Уртцагаан гудамж 1-111 тоот</t>
  </si>
  <si>
    <t>00405</t>
  </si>
  <si>
    <t>Khotont</t>
  </si>
  <si>
    <t>Хотонт</t>
  </si>
  <si>
    <t>Хотонт сум</t>
  </si>
  <si>
    <t>Архангай аймгийн Хотонт сумын 1-р баг, Хотонт Улаан хужир 14 гудамж, 1401а тоот</t>
  </si>
  <si>
    <t>00407</t>
  </si>
  <si>
    <t>Zamin Ude 2</t>
  </si>
  <si>
    <t>Замын-Үүд 2</t>
  </si>
  <si>
    <t>Дорноговь аймгийн Замын-Үүд сумын Нэгдүгээр баг, ТЗ-ын 110-р байрны ард</t>
  </si>
  <si>
    <t>00411</t>
  </si>
  <si>
    <t>Mandalgovi</t>
  </si>
  <si>
    <t>Мандалговь</t>
  </si>
  <si>
    <t>Сайнцагаан сум</t>
  </si>
  <si>
    <t>00413</t>
  </si>
  <si>
    <t>F Sainshand Suvdan urguu</t>
  </si>
  <si>
    <t>F Сайншанд Сувдан өргөө</t>
  </si>
  <si>
    <t>Сайншанд</t>
  </si>
  <si>
    <t>Дорноговь Сайншанд сум, 1-р баг Шин зуун гудамж, 100-1тоот</t>
  </si>
  <si>
    <t>00415</t>
  </si>
  <si>
    <t>Dalanzadgad</t>
  </si>
  <si>
    <t>Даланзадгад</t>
  </si>
  <si>
    <t>Даланзадгад сум</t>
  </si>
  <si>
    <t>Өмнөговь, Даланзадгад сум, 3-р баг 11-р цэцэрлэгийн зүүн хэсэгт</t>
  </si>
  <si>
    <t>00416</t>
  </si>
  <si>
    <t>Nomin Zochid buudal</t>
  </si>
  <si>
    <t>Номин Зочид буудал</t>
  </si>
  <si>
    <t>Сэлэнгэ аймаг Сүхбаатар сум 4-р баг</t>
  </si>
  <si>
    <t>00420</t>
  </si>
  <si>
    <t>Gandirs khudaldaanii tuv</t>
  </si>
  <si>
    <t>Гандирс худалдааны төв</t>
  </si>
  <si>
    <t>Өмнөговь аймгийн Даланзадгад сумын 3-р баг, 11-р цэцэрлэгийн зүүн хэсэгт байршилтай</t>
  </si>
  <si>
    <t>00425</t>
  </si>
  <si>
    <t>Khutul</t>
  </si>
  <si>
    <t>Хөтөл</t>
  </si>
  <si>
    <t>Сайхан сум</t>
  </si>
  <si>
    <t>Сэлэнгэ аймгийн Сайхан сумын 2-р баг, Гавшгай Хөтөл хотын төвд гудамж 0 тоот</t>
  </si>
  <si>
    <t>00429</t>
  </si>
  <si>
    <t>Tsogttsetsii</t>
  </si>
  <si>
    <t>Цогтцэций</t>
  </si>
  <si>
    <t>Цогтцэций сум</t>
  </si>
  <si>
    <t>Өмнөговь аймаг Цогтцэций сум 4-р баг Өгөөмөр бор 1 гудамж 102/1 байр 101 тоот</t>
  </si>
  <si>
    <t>00430</t>
  </si>
  <si>
    <t>Khanbogd</t>
  </si>
  <si>
    <t>Ханбогд</t>
  </si>
  <si>
    <t>Ханбогд сум</t>
  </si>
  <si>
    <t>Өмнөговь аймгийн Ханбогд сумын, Доролжийн 3-тоот</t>
  </si>
  <si>
    <t>00431</t>
  </si>
  <si>
    <t>Bulgan</t>
  </si>
  <si>
    <t>Булган</t>
  </si>
  <si>
    <t>Булган сум</t>
  </si>
  <si>
    <t>00432</t>
  </si>
  <si>
    <t>Tuguldur Khentii</t>
  </si>
  <si>
    <t>Төгөлдөр Хэнтий</t>
  </si>
  <si>
    <t>Хэнтий аймгийн Хэрлэн сумын 3 дугаар баг, Баатруудын гудамж- 2</t>
  </si>
  <si>
    <t>00433</t>
  </si>
  <si>
    <t>Arvaikheer Sakura</t>
  </si>
  <si>
    <t>Арвайхээр Сакура</t>
  </si>
  <si>
    <t>Арвайхээр сум</t>
  </si>
  <si>
    <t>Өвөрхангай аймгийн Арвайхээр сумын 3-р баг, Дэлгэрэх худалдааны тойруу гудамж, 11 тоот хаягт байршилтай</t>
  </si>
  <si>
    <t>00434</t>
  </si>
  <si>
    <t>Arvaikheer</t>
  </si>
  <si>
    <t>Арвайхээр</t>
  </si>
  <si>
    <t>Өвөрхангай аймгийн Арвайхээр сумын 6-р баг 29-271 тоот хаягт байршилтай</t>
  </si>
  <si>
    <t>00442</t>
  </si>
  <si>
    <t>Bulgan 2</t>
  </si>
  <si>
    <t>Булган 2</t>
  </si>
  <si>
    <t>Булган аймаг Булган сумын 6 баг с.магсаржав-1 гудамж 100а байр үйлчилгээ-2 тоот</t>
  </si>
  <si>
    <t>00443</t>
  </si>
  <si>
    <t>Orkhon tuv</t>
  </si>
  <si>
    <t>Орхон төв</t>
  </si>
  <si>
    <t>Цэцэрлэг хот</t>
  </si>
  <si>
    <t>00446</t>
  </si>
  <si>
    <t>Dalanzadgad Oyut</t>
  </si>
  <si>
    <t>Даланзадгад Оюут</t>
  </si>
  <si>
    <t>Өмнөговь аймгийн Даланзадгад сум, 7-р баг Оюут 7 гудамж ,11 тоот</t>
  </si>
  <si>
    <t>00447</t>
  </si>
  <si>
    <t>Dalanzadgad Ikh uul</t>
  </si>
  <si>
    <t>Даланзадгад Их уул</t>
  </si>
  <si>
    <t>Өмнөговь аймгийн Даланзадгад сумын 6-р баг, Их уул их уул 9 гудамж 1а тоот</t>
  </si>
  <si>
    <t>00448</t>
  </si>
  <si>
    <t>Erdenet Khoroolliin etses</t>
  </si>
  <si>
    <t>Эрдэнэт Хорооллын эцэс</t>
  </si>
  <si>
    <t>Баян-Өндөр сум</t>
  </si>
  <si>
    <t>Орхон аймгийн Баян-Өндөр сум “Наран” баг Хороололын эцсийн буудалд байрлах барилга хаяг</t>
  </si>
  <si>
    <t>00455</t>
  </si>
  <si>
    <t>Sukhbaatar-Altanbulagiin zam</t>
  </si>
  <si>
    <t>Сүхбаатар-Алтанбулагийн зам</t>
  </si>
  <si>
    <t>Сэлэнгэ аймгийн Сүхбаатар сумын 8-р баг, Буур хээр буурын гол 1 гудамж 114а тоот</t>
  </si>
  <si>
    <t>00456</t>
  </si>
  <si>
    <t>Erkhet 888</t>
  </si>
  <si>
    <t>Эрхэт 888</t>
  </si>
  <si>
    <t>00458</t>
  </si>
  <si>
    <t>Hangarid zochid buudal</t>
  </si>
  <si>
    <t>Хангарьд зочид буудал</t>
  </si>
  <si>
    <t>Хэнтий аймгийн Хэрлэн сумын 3-р, Баянмөнх Тэмүүжингийн гудамж, c-80 тоот хаягт байршилтай</t>
  </si>
  <si>
    <t>00459</t>
  </si>
  <si>
    <t>Tsakhiur zochid buudal</t>
  </si>
  <si>
    <t>Цахиур зочид буудал</t>
  </si>
  <si>
    <t>Архангай аймгийн Эрдэнэбулган сумын 3-р баг цахиур худалдааны төв</t>
  </si>
  <si>
    <t>00464</t>
  </si>
  <si>
    <t>Baganuur Kharkhorin plaza</t>
  </si>
  <si>
    <t>Багануур Хархорин плаза</t>
  </si>
  <si>
    <t>Нийслэлийн Багануур дүүргийн 5-р хороо, Залуус хэсэг /10100 / гудамж, 8 тоот</t>
  </si>
  <si>
    <t>00465</t>
  </si>
  <si>
    <t>Khulan center</t>
  </si>
  <si>
    <t>Хулан төв</t>
  </si>
  <si>
    <t>Хэнтий аймгийн Хэрлэн сумын 2-р баг, Булаг баатарууд м-20 гудамж, 04 тоот</t>
  </si>
  <si>
    <t>00466</t>
  </si>
  <si>
    <t>Durwun undraga tuw</t>
  </si>
  <si>
    <t>Дөрвөн ундрага төв</t>
  </si>
  <si>
    <t>Эрдэнэбулган сум</t>
  </si>
  <si>
    <t>Архангай аймаг эрдэнэбулган сумын 5-р баг тээвэрчид 8 гудамж 834 тоот хаяг</t>
  </si>
  <si>
    <t>00467</t>
  </si>
  <si>
    <t>D.Oyunboldin gudamj</t>
  </si>
  <si>
    <t>Д.Оюунболдын гудамж</t>
  </si>
  <si>
    <t>00468</t>
  </si>
  <si>
    <t>Altanbulag</t>
  </si>
  <si>
    <t>Алтанбулаг</t>
  </si>
  <si>
    <t>Алтанбулаг сум</t>
  </si>
  <si>
    <t>Сэлэнгэ аймгийн Алтанбулаг сумын 1-р баг, Бүргэдэй булаг 5 гудамж 501 тоот хаягт байршилтай</t>
  </si>
  <si>
    <t>00469</t>
  </si>
  <si>
    <t>Elgemseg tuv</t>
  </si>
  <si>
    <t>Элгэмсэг төв</t>
  </si>
  <si>
    <t>Сэлэнгэ аймгийн Мандал сумын 9-р баг, Баянарцат үйлчилгээ 2 гудамж 205 тоот</t>
  </si>
  <si>
    <t>00471</t>
  </si>
  <si>
    <t>Soyolj tuv</t>
  </si>
  <si>
    <t>Соёолж төв</t>
  </si>
  <si>
    <t>Мөрөн сум</t>
  </si>
  <si>
    <t>Хөвсгөл аймгийн мөрөн сумын 14-р баг баянбуурал 1 гудамж 105 тоот хаяг</t>
  </si>
  <si>
    <t>00472</t>
  </si>
  <si>
    <t>Star</t>
  </si>
  <si>
    <t>Стар</t>
  </si>
  <si>
    <t>Хөвсгөл аймгийн Мөрөн сумын 6-р баг Од, 2 гудамж 200 тоот</t>
  </si>
  <si>
    <t>00473</t>
  </si>
  <si>
    <t>Pearl</t>
  </si>
  <si>
    <t>Перл</t>
  </si>
  <si>
    <t>00474</t>
  </si>
  <si>
    <t>F Sainshand Khos Urguu</t>
  </si>
  <si>
    <t>F Сайншанд Хос Өргөө</t>
  </si>
  <si>
    <t>00475</t>
  </si>
  <si>
    <t>Mandalgovi 2</t>
  </si>
  <si>
    <t>Мандалговь 2</t>
  </si>
  <si>
    <t>00476</t>
  </si>
  <si>
    <t>Baruunburen</t>
  </si>
  <si>
    <t>Баруунбүрэн</t>
  </si>
  <si>
    <t>Баруунбүрэн сум</t>
  </si>
  <si>
    <t>00477</t>
  </si>
  <si>
    <t>Khuuchin Darkhan</t>
  </si>
  <si>
    <t>Хуучин Дархан</t>
  </si>
  <si>
    <t>Дархан-уул аймгийн Дархан сумын 5-р баг</t>
  </si>
  <si>
    <t>00478</t>
  </si>
  <si>
    <t>Khongor</t>
  </si>
  <si>
    <t>Хонгор</t>
  </si>
  <si>
    <t>Хонгор сум</t>
  </si>
  <si>
    <t>Дархан-Уул аймаг, Хонгор сум, 1-баг хаягт байршилтай</t>
  </si>
  <si>
    <t>00483</t>
  </si>
  <si>
    <t>Mandala zochid buudal</t>
  </si>
  <si>
    <t>Мандала зочид буудал</t>
  </si>
  <si>
    <t>Архангай аймгийн Эрдэнэбулган сумын 3-р баг Захын зүүн талын гурвалжин саадан дотор хаяг</t>
  </si>
  <si>
    <t>00484</t>
  </si>
  <si>
    <t>F Choir - Dream oasis</t>
  </si>
  <si>
    <t>F Чойр - Дрийм Өүсис</t>
  </si>
  <si>
    <t>Говьсүмбэр аймгийн Сүмбэр сумын 3-р баг, ОБХ-ийн баруун талд</t>
  </si>
  <si>
    <t>00485</t>
  </si>
  <si>
    <t>Khutul-2</t>
  </si>
  <si>
    <t>Хөтөл-2</t>
  </si>
  <si>
    <t>Сэлэнгэ аймгийн Сайхан сумын 2-р баг, Гавшгай Төв зам-1 гудамж 122</t>
  </si>
  <si>
    <t>00486</t>
  </si>
  <si>
    <t>Auto teevriin tuv</t>
  </si>
  <si>
    <t>Авто тээврийн төв</t>
  </si>
  <si>
    <t>Архангай аймаг, Эрдэнэбулган сум, 4-р баг 0 тоот</t>
  </si>
  <si>
    <t>00487</t>
  </si>
  <si>
    <t>Jinchin</t>
  </si>
  <si>
    <t>Жинчин</t>
  </si>
  <si>
    <t>Өвөрхангай аймаг Арвайхээр сум 9-р баг бурхи 58 гудамж 22 тоот</t>
  </si>
  <si>
    <t>00488</t>
  </si>
  <si>
    <t>Partizan talbai</t>
  </si>
  <si>
    <t>Партизан талбай</t>
  </si>
  <si>
    <t>Сэлэнгэ аймгийн Сүхбаатар сумын 2-р багийн нутагт Төв талбайн баруун урд орших хаягт байршилтай</t>
  </si>
  <si>
    <t>00491</t>
  </si>
  <si>
    <t>Amar khudaldaanii tuv</t>
  </si>
  <si>
    <t>Амар худалдааны төв</t>
  </si>
  <si>
    <t>Баянхонгор сум</t>
  </si>
  <si>
    <t>Баянхонгор аймгийн Баянхонгор сумын 1 дүгээр багт / Солонго бичиг хэргийн дэлгүүрийн урд талд/</t>
  </si>
  <si>
    <t>00492</t>
  </si>
  <si>
    <t>Elbeg</t>
  </si>
  <si>
    <t>Элбэг</t>
  </si>
  <si>
    <t>Баянхонгор аймгийн Баянхонгор сумын 1-р баг, Номгон тээвэрчдийн 3 гудамж 311/1 тоот хаягт байршилтай</t>
  </si>
  <si>
    <t>00493</t>
  </si>
  <si>
    <t>Buynt bogd</t>
  </si>
  <si>
    <t>Буянт богд</t>
  </si>
  <si>
    <t>Баянхонгор аймгийн баянхонгор сумын 1-р баг, Номгон дэлгэрэхийн-1 гудамж 11/ББ1 тоот</t>
  </si>
  <si>
    <t>00495</t>
  </si>
  <si>
    <t>Baynkhongor ikh delguur</t>
  </si>
  <si>
    <t>Баянхонгор их дэлгүүр</t>
  </si>
  <si>
    <t>Баянхонгор аймгийн Баянхонгор сумын 1-р багийн нутагт ХД театрын баруун талд</t>
  </si>
  <si>
    <t>00496</t>
  </si>
  <si>
    <t>Lun 2</t>
  </si>
  <si>
    <t>Лүн 2</t>
  </si>
  <si>
    <t>Төв аймгийн лүн сумын 3-р баг төв хөх даваа 1 гудамж 100а тоот</t>
  </si>
  <si>
    <t>00497</t>
  </si>
  <si>
    <t>Darkhan plaza</t>
  </si>
  <si>
    <t>Дархан плаза</t>
  </si>
  <si>
    <t>Дархан сум</t>
  </si>
  <si>
    <t>Дархан уул аймгийн Дархан сумын 18-р хороолол, Хуульчид-3 305А хаягт байршилтай</t>
  </si>
  <si>
    <t>00501</t>
  </si>
  <si>
    <t>Choibalsan zochid buudal</t>
  </si>
  <si>
    <t>Чойбалсан зочид буудал</t>
  </si>
  <si>
    <t>Дорнод аймгийн Хэрлэн сумын 11-р баг Содномдаржаа 1 гудамж, 103 тоот</t>
  </si>
  <si>
    <t>00502</t>
  </si>
  <si>
    <t>Kherlen zochid buudal</t>
  </si>
  <si>
    <t>Хэрлэн зочид буудал</t>
  </si>
  <si>
    <t>Дорнод аймгийн Хэрлэн сум, 7-р баг 27-р байр</t>
  </si>
  <si>
    <t>00511</t>
  </si>
  <si>
    <t>Zamiin-Uud 3</t>
  </si>
  <si>
    <t>Замын-Үүд 3</t>
  </si>
  <si>
    <t>Дорноговь аймгийн Замын-Үүд сумын 1-р баг 11-р хэсэг Петровис ШТС-н хойд талд</t>
  </si>
  <si>
    <t>00512</t>
  </si>
  <si>
    <t>Bayan sum</t>
  </si>
  <si>
    <t>Баян сум</t>
  </si>
  <si>
    <t>Төв аймгийн Баян сумын 3-р баг, Цавчир хоолт гудамж Оа тоот</t>
  </si>
  <si>
    <t>00514</t>
  </si>
  <si>
    <t>Erdenet-bulganii zam 2</t>
  </si>
  <si>
    <t>Эрдэнэт-Булганы зам 2</t>
  </si>
  <si>
    <t>Булган аймгийн Орхон сумын 2-р баг, Халиун улсын чанартай авто Замын баруун талд гудамж 0 тоот хаягт байршилтай</t>
  </si>
  <si>
    <t>00515</t>
  </si>
  <si>
    <t>Bulganii zam</t>
  </si>
  <si>
    <t>Булганы зам</t>
  </si>
  <si>
    <t>Булган аймгийн Булган сумын 6-р баг, Булган хужир толгой 1 гудамж 100 тоот</t>
  </si>
  <si>
    <t>00523</t>
  </si>
  <si>
    <t>Dornod MUIS</t>
  </si>
  <si>
    <t>Дорнод МУИС</t>
  </si>
  <si>
    <t>Дорнод аймгийн Хэрлэн сумын 6-р баг эв нэгдэл 1 гудамж 118 байр 1 давхрын 2 тоот хаягт байршилтай</t>
  </si>
  <si>
    <t>00524</t>
  </si>
  <si>
    <t>Nairamdal park</t>
  </si>
  <si>
    <t>Найрамдал парк</t>
  </si>
  <si>
    <t>Дорнод аймгийн Хэрлэн сумын 9-р баг 61-р байрны 1 давхарын хойд талд</t>
  </si>
  <si>
    <t>00531</t>
  </si>
  <si>
    <t>Mandalgovi undur eej</t>
  </si>
  <si>
    <t>Мандалговь Өндөр Ээж</t>
  </si>
  <si>
    <t>00533</t>
  </si>
  <si>
    <t>Sainshand Sakura</t>
  </si>
  <si>
    <t>Сайншанд Сакура</t>
  </si>
  <si>
    <t>Дорноговь аймгийн Сайншанд сумын 2-р баг эрүүл мэнд 1 гудамж 100-1 тоот</t>
  </si>
  <si>
    <t>00534</t>
  </si>
  <si>
    <t>Bayankhangai</t>
  </si>
  <si>
    <t>Баянхангай</t>
  </si>
  <si>
    <t>Баянхангай сум</t>
  </si>
  <si>
    <t>Төв аймгийн Баянхангай сумын 2-р баг, Хөшөөт цавхангай 1 гудамж 15 тоот</t>
  </si>
  <si>
    <t>00536</t>
  </si>
  <si>
    <t>Zuun busiin hudaldaanii tuv</t>
  </si>
  <si>
    <t>Зүүн бүсийн худалдааны төв</t>
  </si>
  <si>
    <t>Баруун-Урт сум</t>
  </si>
  <si>
    <t>00537</t>
  </si>
  <si>
    <t>Baruun-Urt Khiimori</t>
  </si>
  <si>
    <t>Баруун-Урт Хийморь</t>
  </si>
  <si>
    <t>Сүхбаатар аймгийн Баруун-Урт сумын 3 дугаар баг “Хийморь” зоогийн газар хаягт</t>
  </si>
  <si>
    <t>00538</t>
  </si>
  <si>
    <t>Murun</t>
  </si>
  <si>
    <t>Мөрөн</t>
  </si>
  <si>
    <t>Хөвсгөл аймгийн мөрөн сумын 8-р баг, 13-р байрны ард тоот</t>
  </si>
  <si>
    <t>00541</t>
  </si>
  <si>
    <t>Sainshand 4</t>
  </si>
  <si>
    <t>Сайншанд 4</t>
  </si>
  <si>
    <t>Сайншанд сум</t>
  </si>
  <si>
    <t>Дорноговь аймгийн сайншанд сумын 3-р баг тогоот 4 гудамж, 401 тоот</t>
  </si>
  <si>
    <t>00547</t>
  </si>
  <si>
    <t>Bor-Undur</t>
  </si>
  <si>
    <t>Бор-Өндөр</t>
  </si>
  <si>
    <t>Бор-Өндөр сум</t>
  </si>
  <si>
    <t>Хэнтий аймгийн Бор-Өндөр сумын 1-р баг, Бор-Өндөр геологчид 2 гудамж 207 тоот</t>
  </si>
  <si>
    <t>00549</t>
  </si>
  <si>
    <t>Bor-Undur dream</t>
  </si>
  <si>
    <t>Бор өндөр Дрийм</t>
  </si>
  <si>
    <t>Хэнтий аймгийн Бор-Өндөр сумын 2 дугаар хэсэг Цогцолбор сургуулийн “А” байрны баруун талд</t>
  </si>
  <si>
    <t>00551</t>
  </si>
  <si>
    <t>Khujirt sum</t>
  </si>
  <si>
    <t>Хужирт сум</t>
  </si>
  <si>
    <t>Өвөрхангай аймгийн Хужирт сумын 4-р баг, Шивээт тоот</t>
  </si>
  <si>
    <t>00554</t>
  </si>
  <si>
    <t>Khulunbuir</t>
  </si>
  <si>
    <t>Хөлөнбуйр</t>
  </si>
  <si>
    <t>Хөлөнбуйр сум</t>
  </si>
  <si>
    <t>Дорнод аймгийн Хөлөнбуйр сумын 3-р баг, Баян-Уул дэнж 6 гудамж 630 тоот</t>
  </si>
  <si>
    <t>00561</t>
  </si>
  <si>
    <t>Khar khorin uv tuv</t>
  </si>
  <si>
    <t>Хархорин Өв төв</t>
  </si>
  <si>
    <t>00562</t>
  </si>
  <si>
    <t>Erdene sum</t>
  </si>
  <si>
    <t>Эрдэнэ сум</t>
  </si>
  <si>
    <t>Төв аймгийн Эрдэн сумын 5-р баг, Тамган нуурын гудамж 117 тоот</t>
  </si>
  <si>
    <t>00568</t>
  </si>
  <si>
    <t>Erdenesant sum</t>
  </si>
  <si>
    <t>Эрдэнэсант сум</t>
  </si>
  <si>
    <t>Төв аймгийн Эрдэнэсант сумын 5-р баг, Улаанхудаг хорго гудамж 101а тоот</t>
  </si>
  <si>
    <t>00569</t>
  </si>
  <si>
    <t>Rashaant sum</t>
  </si>
  <si>
    <t>Рашаант сум</t>
  </si>
  <si>
    <t>Булган аймгийн Рашаант сумын 2-р баг, Хар чулуут их зам 1 гудамж 102 тоот</t>
  </si>
  <si>
    <t>00570</t>
  </si>
  <si>
    <t>Sumber sum</t>
  </si>
  <si>
    <t>Сүмбэр сум</t>
  </si>
  <si>
    <t>Говьсүмбэр аймгийн Сүмбэр сумын 1-р баг худалдааны гудамж 101б тоот</t>
  </si>
  <si>
    <t>00572</t>
  </si>
  <si>
    <t>Murun zakh</t>
  </si>
  <si>
    <t>Мөрөн зах</t>
  </si>
  <si>
    <t>Хөвсгөл аймгийн Мөрөн сумын 4-р баг 11 гудамж 20 тоот</t>
  </si>
  <si>
    <t>00573</t>
  </si>
  <si>
    <t>Sharga kino teatr</t>
  </si>
  <si>
    <t>Шарга кино театр</t>
  </si>
  <si>
    <t>Сүхбаатар аймгийн Баруун-Урт сумын 1-р баг боловсролын гудамж 3 324 тоот</t>
  </si>
  <si>
    <t>00575</t>
  </si>
  <si>
    <t>Kharkhorin Bolomj</t>
  </si>
  <si>
    <t>Хархорин Боломж</t>
  </si>
  <si>
    <t>Өвөрхангай аймгийн Хархорин сумын 2-р баг, Ганган-Орхон Соёмбо, 7Б тоот</t>
  </si>
  <si>
    <t>00579</t>
  </si>
  <si>
    <t>Alpha arena</t>
  </si>
  <si>
    <t>Альфа Арена</t>
  </si>
  <si>
    <t>Орхон аймагийн Баян-өндөр сумын 24-р баг, Чандмань эрдэнэт булган а1001 а1002 -1 гудамж 114 тоот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</si>
  <si>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</si>
  <si>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</si>
  <si>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</si>
  <si>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</si>
  <si>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</si>
  <si>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</si>
  <si>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</si>
  <si>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</si>
  <si>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</si>
  <si>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00609</t>
  </si>
  <si>
    <t>00610</t>
  </si>
  <si>
    <t>00611</t>
  </si>
  <si>
    <t>00614</t>
  </si>
  <si>
    <t>00888</t>
  </si>
  <si>
    <t>USE_YN</t>
  </si>
  <si>
    <t>Хан-уул дүүрэг</t>
  </si>
  <si>
    <t>Хутаг-өндөр сум</t>
  </si>
  <si>
    <t>Улаанбаатар хот</t>
  </si>
  <si>
    <t>Улаанбаатар</t>
  </si>
  <si>
    <t>Баянгол</t>
  </si>
  <si>
    <t>Choibalsan</t>
  </si>
  <si>
    <t>Khet tuv</t>
  </si>
  <si>
    <t>Bayanmongol</t>
  </si>
  <si>
    <t>Ondo</t>
  </si>
  <si>
    <t>Amgalan Petrovis</t>
  </si>
  <si>
    <t>Olimp Khotkhon</t>
  </si>
  <si>
    <t>Budda vista</t>
  </si>
  <si>
    <t>Green apartment</t>
  </si>
  <si>
    <t>F Rashaant center</t>
  </si>
  <si>
    <t>Natur khudaldaanii tuv</t>
  </si>
  <si>
    <t>Khutag-Undur</t>
  </si>
  <si>
    <t>Dalanzadgad GB</t>
  </si>
  <si>
    <t>NUM 2</t>
  </si>
  <si>
    <t>San apartment</t>
  </si>
  <si>
    <t>Mandala 365</t>
  </si>
  <si>
    <t>KHUD Uildver gudamj</t>
  </si>
  <si>
    <t>Jukov square</t>
  </si>
  <si>
    <t>Shambhala hothon</t>
  </si>
  <si>
    <t>Sos khuukhdiin khotkhon</t>
  </si>
  <si>
    <t>Modnii 2-n zam</t>
  </si>
  <si>
    <t>Dornodiin zam</t>
  </si>
  <si>
    <t>Khanbogd 2</t>
  </si>
  <si>
    <t>Сансар Хэт төв</t>
  </si>
  <si>
    <t>Баянмонгол</t>
  </si>
  <si>
    <t>Ондо</t>
  </si>
  <si>
    <t>Олимп хотхон</t>
  </si>
  <si>
    <t>Будда виста</t>
  </si>
  <si>
    <t>Грийн апартмент</t>
  </si>
  <si>
    <t>F Рашаант төв</t>
  </si>
  <si>
    <t>Натур худалдааны төв</t>
  </si>
  <si>
    <t>Хутаг-Өндөр</t>
  </si>
  <si>
    <t>Даланзадгад Жи Би</t>
  </si>
  <si>
    <t>МУИС 2</t>
  </si>
  <si>
    <t>Сан Апартмент</t>
  </si>
  <si>
    <t>Мандала 365</t>
  </si>
  <si>
    <t>ХУД Үйлдвэр гудамж</t>
  </si>
  <si>
    <t>Жуковын талбай</t>
  </si>
  <si>
    <t>Шамбала хотхон</t>
  </si>
  <si>
    <t>СОС хүүхдийн хотхон</t>
  </si>
  <si>
    <t>Модны 2-н зам</t>
  </si>
  <si>
    <t>Дорнодын зам</t>
  </si>
  <si>
    <t>Ханбогд 2</t>
  </si>
  <si>
    <t>Мобайл стор</t>
  </si>
  <si>
    <t>БГД, 5-р хороо, 10-р хороолол /16080/, Энхтайваны өргөн чөлөө 32</t>
  </si>
  <si>
    <t>БГД, 1-р хороо, 2-р хороолол /16051/, Хатанбаатар Магсаржавын гудамж, 9А дугаар байр, 1-С тоот</t>
  </si>
  <si>
    <t>СБД, 1-р хороо, 13-р хороолол, нарны зам гудамж, 62-р байр, В блок, 1 давхар, 101а тоот</t>
  </si>
  <si>
    <t>СБД, 6-р хороо, Бага тойруу /14201/, Сүхбаатарын гудамж, 11/4-р байр, 1 давхар</t>
  </si>
  <si>
    <t>ХУД, 3-р хороо, Үйлдвэр Шаравын гудамж, 12 тоот</t>
  </si>
  <si>
    <t>БГД, 5-р хороо, Үйлдвэрийн төвийн бүс /16010/, Энхтайваны өргөн чөлөө гудамж 68 байр 1давхарын дунд талын 2в тоот</t>
  </si>
  <si>
    <t>Баянзүрх дүүрэг, Ботаникийн цэцэрлэгт хүрээлэн, Анагаах Ухааны сургууль</t>
  </si>
  <si>
    <t>Хан-Уул дүүргийн 17-р хороо, Стадион оргил /17012/ Их Монгол улс гудамж 704 байр, 1 давхарт 106 тоот</t>
  </si>
  <si>
    <t>Сүхбаатар дүүргийн 11-р хороо Рашаант үйлчилгээний барилгын 1 давхар</t>
  </si>
  <si>
    <t>БЗД, 22-р хороо, Цайз /13292/ Б.Доржийн гудамж, 108 б байр, 3 тоот</t>
  </si>
  <si>
    <t>СБД, 5-р хороо, /14523/, Нарын замын 81-р байр, 1 давхар</t>
  </si>
  <si>
    <t>СБД, 1-р хороо, Эко интернэйшнл тауэр, 23 давхар</t>
  </si>
  <si>
    <t>ХУД, 21-р хороо, Өлзийтийн зам гудамж, 3 тоот</t>
  </si>
  <si>
    <t>Баян-Өндөр уурхайн баг Төгөл дэлгүүрийн баруун талд Баян худалдааны төв</t>
  </si>
  <si>
    <t>БГД, 11-р хороо, Хувьсгалын зам гудамж, 10 тоот</t>
  </si>
  <si>
    <t>Хэнтий аймгийн Хэрлэн сумын 2-р баг, Булаг нисэх 30 гудамж 0а тоот</t>
  </si>
  <si>
    <t>БГД, 16-р хороо, Туулын 17-р гудамжны, 351 Б тоот</t>
  </si>
  <si>
    <t>Нийслэлийн Сүхбаатар дүүргийн 11-р дүгээр хороо, Зүүн сэлбийн 10 дугаар гудамж 4 тоот</t>
  </si>
  <si>
    <t>БЗД, 12-р хороо, Баянмонгол /13311/, Их монгол улсын гудамж, 411-р байр, B-01 тоот</t>
  </si>
  <si>
    <t>ЧД, 5-р хороо, 6-р хороолол /15141/</t>
  </si>
  <si>
    <t>Төв аймгийн Баянчандмань сумын 1-р баг, Замт, Илт-1 гудамж 101 тоот</t>
  </si>
  <si>
    <t>Хэнтий аймаг, Цэнхэрмандал сум, 3-р баг, Согоот, Цэнхэр гол гудамж, 11</t>
  </si>
  <si>
    <t>Нийслэлийн Сүхбаатар дүүргийн 3-р хороо, 5-р хороолол, /14252/ сөүлийн гудамж 47 байр 1 дүгээр давхар 2 тоот хаягт</t>
  </si>
  <si>
    <t>Нийслэлийн Баянгол дүүргийн 4 -р хороо, нарны зам 1 гудамж 461/1 тоот</t>
  </si>
  <si>
    <t>СХД, 13-р хороо, Өнөр хороолол, 196 байр, Б блок тоот</t>
  </si>
  <si>
    <t>СХД, 9-р хороо, автобусны эцсийн буудлын дэргэд орших барилга, 37 тоот</t>
  </si>
  <si>
    <t>БЗД, 41-р хороо, 15-р хороолол /13343/, Б.Доржийн гудамж, 69 тоот</t>
  </si>
  <si>
    <t>, Нийслэлийн Cонгинохайрхан дүүргийн 18-р хороо, Толгойт Улаанбаатар импекс Монгол тээх ХХК-н дунд байрлах байршилтай</t>
  </si>
  <si>
    <t>Дундговь аймгийн Сайнцагаан сумын 6 дугаар баг, Боржигоны 7 дугаар гудамжны 1 Б тоот хаягт</t>
  </si>
  <si>
    <t>Булган аймгийн Булган сумын 5-р баг, Жаргалант хатанбаатар магсаржав 2 гудамж 213б тоот</t>
  </si>
  <si>
    <t>Нийслэлийн Баянгол дүүргийн 6 дугаар хороо, 10 дугаар хороолол 39 дугаар байрны 1 тоот хаягт байршилтай</t>
  </si>
  <si>
    <t>Архангай аймгийн Эрдэнэбулган сум 3-р баг Зая гэгээтэн 1 гудамж 102а тоот</t>
  </si>
  <si>
    <t>Нийслэлийн Сонгинохайрхан дүүргийн 33-р хороо, тахилт 8 гудамж байр 3/г тоот хаягт байршилтай</t>
  </si>
  <si>
    <t>Нийслэлийн Сонгинохайрхан дүүргийн 29 -р хороо, Москвагийн гудамж 119 байр 1 давхарт тоот</t>
  </si>
  <si>
    <t>Налайх дүүргийн 3 -р хороо, Дэнжийн 22 гудамж, 7 тоот</t>
  </si>
  <si>
    <t>Орхон аймгийн Баян- Өндөр сумын 13 -р баг, Баянцагаан дцс 9 гудамж 901 тоот</t>
  </si>
  <si>
    <t>Сэлэнгэ аймгийн Сүхбаатар сумын 6-р баг, Орхон д.оюунболдын 2 гудамж 203а тоот</t>
  </si>
  <si>
    <t>Хөвсгөл аймгийн мөрөн сумын 7-р баг хийморь, 201 байр 1 давхар 1 тоот хаягт байршилтай</t>
  </si>
  <si>
    <t>Дорноговь аймгийн Сайншанд сумын 3-р баг ялалт 1 гудамж, 123 байр 1 давхарын үйлчилгээний төв тоот</t>
  </si>
  <si>
    <t>Дундговь аймгийн Сайнцагаан сумын 7-р баг, Нарлаг наранцацралтын 1 гудамж 110 байр 3 тоот</t>
  </si>
  <si>
    <t>Сэлэнгэ аймгийн Баруунбүрэн сумын 3-р баг, Цагаан-Овоо таван шар гудамж 4-401а тоот хаягт байршилтай</t>
  </si>
  <si>
    <t>Улаанбаатар, Хан-уул дүүргийн 2 дугаар хороо 19 дүгээр хороолол Дундгол гудамж 28/1 тоот</t>
  </si>
  <si>
    <t>Нийслэлийн Сонгинохайрхан дүүргийн 40-р хороо, баянхошуу 40 гудамж 7 тоот тоот хаягт байршилтай</t>
  </si>
  <si>
    <t>Нийслэлийн Налайх дүүргийн 5 -р хороо, 0 тоот хаягт</t>
  </si>
  <si>
    <t>Нийслэлийн Баянзүрх дүүргийн 14 -р хороо, 14 хороолол /13335/, энхтайвны өргөн чөлөө гудамж 79 тоот хаягт байршилтай</t>
  </si>
  <si>
    <t>Нийслэлийн Налайх дүүргийн 1 -р хороо, баянзүрх /12670/ цайз гудамж 41 тоот хаягт байршилтай</t>
  </si>
  <si>
    <t>Нийслэлийн Сонгино хайрхан дүүргийн 17-р хороо, 1-р хороолол 18032 Өнөр х/лын гудамж, 59 тоот хаягт байршилтай</t>
  </si>
  <si>
    <t>Нийслэлийн Сонгинохайрхан дүүргийн 32-р хороо, Баруун түрүүн гудамж 40-4 тоот</t>
  </si>
  <si>
    <t>Нийслэлийн Сонгинохайрхан дүүргийн 21 -р хороо, зоорь 1 гудамж 41 тоот хаягт байршилтай</t>
  </si>
  <si>
    <t>Хан-Уул дүүргийн 4-р хороо, Арцатын ам /17100/, Наадамчдын зам гудамж, 1294-р байрны 116, 117 тоот</t>
  </si>
  <si>
    <t>Дундговь аймгийн Сайнцагаан сумын 9 -р баг, 180-р байр</t>
  </si>
  <si>
    <t>Төв аймгийн Зуунмод сумын 1-р баг, Номт Манзушир өргөө, 200, 200/1 тоот</t>
  </si>
  <si>
    <t>Сүхбаатар аймгийн Баруун-Урт сумын 3-р баг Зүүн бүс худалдааны төв байр с-4 тоот</t>
  </si>
  <si>
    <t>Нийслэлийн Чингэлтэй дүүргийн 3-р хороо, 40 50 мянгат /15172/ Жуулчны гудамж 34 байр, 1 тоот</t>
  </si>
  <si>
    <t>Нийслэлийн Баянзүрх дүүргийн 27-р хороо, жамсран уулын өвөр 5 гудамж 2238 тоот</t>
  </si>
  <si>
    <t>Нийслэлийн Баянзүрх дүүргийн 23-р хороо, баатархайрхан гудамж 819а тоот</t>
  </si>
  <si>
    <t>Өвөрхангай аймгийн Хархорин сумын 1 -р баг, Вангийн- Овоо Од, 1 гудамж 4б тоот</t>
  </si>
  <si>
    <t>Нийслэлийн Сүхбаатар дүүргийн 8-р хорооны нутаг дэвсгэрт баригдах “RIVER CASTLE” апартмент C блок, 100/8тоот</t>
  </si>
  <si>
    <t>Нийслэлийн Баянзүрх дүүргийн 14-р хороо, 13334 нарны зам гудамж, 65/2 тоот</t>
  </si>
  <si>
    <t>Нийслэлийн Баянзүрх дүүргийн 14-р хороо, 14 хороолол /13335/ Энхтайваны өргөн чөлөө гудамж 204 байр, 3 тоот</t>
  </si>
  <si>
    <t>Нийслэлийн Сонгинохайрхан дүүргийн 20-р хороо, энхтайвны өргөн чөлөөний гудамж 1502 тоот</t>
  </si>
  <si>
    <t>Нийслэлийн Баянзүрх дүүргийн 43-р хороо, 13 дугаар хороолол /13374/, манлайбаатар дамдинсүрэн гудамж 79 тоот</t>
  </si>
  <si>
    <t>Булган, Хутаг-Өндөр 1-р баг, Хутаг Бургил-1 гудамж, 112 хаяг</t>
  </si>
  <si>
    <t>Өмнөговь аймгийн Даланзадгад сумын 6-р баг, Их уул нисэх 2 гудамж 203б/1 байр 111 тоот хаягт байршилтай</t>
  </si>
  <si>
    <t>Сүхбаатар дүүрэг 6-р хороо, Бага тойруу 48 байр, 102 тоот</t>
  </si>
  <si>
    <t>Чингэлтэй дүүрэг 6-р хороо, 6-р хороолол /15140/ г.бумцэнд гудамж 47б байр, 104 тоот</t>
  </si>
  <si>
    <t>Нийслэлийн баянзүрх дүүргийн 26-р хороо, Олимп хороолол /13312/ Нийслэл хүрээ өргөн чөлөө 311</t>
  </si>
  <si>
    <t>Нийслэлийн Хан-Уул дүүргийн 2-р хороо, үйлдвэр гудамж 37/3 тоот</t>
  </si>
  <si>
    <t>Нийслэлийн Баянзүрх дүүргийн 4-р хороо, 11байр 11/1тоот</t>
  </si>
  <si>
    <t>Нийслэлийн Хан-уул дүүргийн 11-р хороо, Зайсан/17021/, ар зайсан гудамж 124/1-а тоот</t>
  </si>
  <si>
    <t>Нийслэлийн Баянзүрх дүүргийн 39-р хороо, улаанхуаран 12 гудамж 8 тоот</t>
  </si>
  <si>
    <t>Нийслэлийн Баянгол дүүргийн 17-р хороо, 4-р хороолол /16064/ амарсанаа гудамж 19/1 тоот</t>
  </si>
  <si>
    <t>Дорнод аймгийн Хэрлэн сумын 2-р баг, Хэрлэн 1 гудамж 143 тоот</t>
  </si>
  <si>
    <t>Өмнөговь аймгийн Ханбогд сумын 2-р баг, Гавилууд гоёот 9 гудамж 916 тоот</t>
  </si>
  <si>
    <t>Truck number</t>
  </si>
  <si>
    <t>Чиглэл</t>
  </si>
  <si>
    <t>Салбар дэлгүүрүүд</t>
  </si>
  <si>
    <t>Баянчандмань, Баруунхараа, Хонгор, Дархан, Номгон, Хөтөл, Баруун бүрэн, Жаргалант, Эрдэнэт,Булган, Хөвсгөл</t>
  </si>
  <si>
    <t>Дэлгэр цогт, Дундговь, Луус, Хулд,Цогт овоо, Өмнөговь, Цогт цэций, Ханбогд</t>
  </si>
  <si>
    <t>Төв аймаг, Хоолт даваа, Бага хангай, Баян, Баян тал, Чойр, Олон овоо, Даланжаргалан, Айраг, Сайншанд, Эрдэнэ сумын өргөн, Замын үүд</t>
  </si>
  <si>
    <t>Багануур, Цэнхэр мандал, Жаргалтхаан, Мөрөн, Хэнтий, Түмэнцогт,Хөлөнбуйр, Булган, Дорнод</t>
  </si>
  <si>
    <t>Багануур, Цэнхэр мандал, Жаргалтхаан, Мөрөн, Хэнтий, Мөнххаан, Баруун урт</t>
  </si>
  <si>
    <t>Баянчандмань, Баруунхараа, Хонгор, Дархан, Сэлэнгэ,Алтанбулаг</t>
  </si>
  <si>
    <t>Лүн, Эрдэнэсант, Сансар, Өвөрхангай</t>
  </si>
  <si>
    <t>Баянчандмань, Баруунхараа, Хонгор, Дархан, Номгон, Хөтөл, Баруун бүрэн, Жаргалант, Эрдэнэт,Булган</t>
  </si>
  <si>
    <t>Дархан-уул Сэлэнгэ</t>
  </si>
  <si>
    <t>Лүн, Эрдэнэсант, Сансар, Өвөрхангай, Баян цагаан, Нарийн тээл, Баянхонгор</t>
  </si>
  <si>
    <t>Архангай</t>
  </si>
  <si>
    <t>Баянчандмань, Хонгор,Хөтөл,Баруунбүрэн,Орхон аймаг.</t>
  </si>
  <si>
    <t>Цонжин болдог, Эрдэнэ, Багануур, Цэнхэрмандал, Жаргалтхаан, Хэнтий,Хөлөнбуйр,Чойбалсан.</t>
  </si>
  <si>
    <t>Баянчандмань, Баянгол, Мандал сум.</t>
  </si>
  <si>
    <t>Баян,Чойр,Сайншанд,Замын-Үүд</t>
  </si>
  <si>
    <t>Баянхангай, Лүн, Эрдэнэсант, Сансар, Хужирт, Хархорин, Хотонт, Архангай аймаг.</t>
  </si>
  <si>
    <t>Төв, Мандалговь, Цогт-Овоо, Даланзадгад.</t>
  </si>
  <si>
    <t>Баянчандмань, Баянгол, Дархан, Сүхбаатар, Алтанбулаг.</t>
  </si>
  <si>
    <t>Төв, Мандалговь, Цогт-Овоо, Цогтцэций,Ханбогд.</t>
  </si>
  <si>
    <t>Баянхангай, Лүн, Эрдэнэсант, Сансар, Арвайхээр, Нарийнтээл, Баянхонгор аймаг.</t>
  </si>
  <si>
    <t>Баянчандмань, Хонгор, Хөтөл, Баруунбүрэн, Орхон, Булган, Хөвсгөл аймаг.</t>
  </si>
  <si>
    <t>Баян,Чойр,Бор-Өндөр.</t>
  </si>
  <si>
    <t>Цонжин болдог, Эрдэнэ, Багануур, Цэнхэрмандал, Жаргалтхаан, Хэнтий,Мөнххаан,Баруун-Урт</t>
  </si>
  <si>
    <t>64-35 УБТ</t>
  </si>
  <si>
    <t>08-54 УАВ</t>
  </si>
  <si>
    <t>09-84 УЕТ</t>
  </si>
  <si>
    <t>09-85 УКУ</t>
  </si>
  <si>
    <t>09-26 УНА</t>
  </si>
  <si>
    <t>08-45 СББ</t>
  </si>
  <si>
    <t>09-73 СББ</t>
  </si>
  <si>
    <t>09-68 УЕС</t>
  </si>
  <si>
    <t>08-91 УАВ</t>
  </si>
  <si>
    <t>08-69 УАН</t>
  </si>
  <si>
    <t>07-86 УЕМ</t>
  </si>
  <si>
    <t>09-83 УЕТ</t>
  </si>
  <si>
    <t>60-82 УАЕ</t>
  </si>
  <si>
    <t>08-76 УАВ</t>
  </si>
  <si>
    <t>08-73 УАВ</t>
  </si>
  <si>
    <t>42-94 УКК</t>
  </si>
  <si>
    <t>09-34 УЕС</t>
  </si>
  <si>
    <t>08-33 УЕК</t>
  </si>
  <si>
    <t>Location opening date</t>
  </si>
  <si>
    <t>Location closing date</t>
  </si>
  <si>
    <t>SalesStartTime</t>
  </si>
  <si>
    <t>Closed</t>
  </si>
  <si>
    <t>Subcontractor</t>
  </si>
  <si>
    <t>City</t>
  </si>
  <si>
    <t>UB</t>
  </si>
  <si>
    <t>Rural</t>
  </si>
  <si>
    <t>00597</t>
  </si>
  <si>
    <t>Global mall</t>
  </si>
  <si>
    <t>Глобал молл</t>
  </si>
  <si>
    <t>Нийслэлийн Хан-уул дүүргийн 15-р хороо, Глобал молл B-3тоот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</si>
</sst>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3F3F76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2" applyNumberFormat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1" applyBorder="1" applyAlignment="1">
      <alignment horizontal="center" vertical="center"/>
    </xf>
    <xf numFmtId="0" fontId="6" fillId="5" borderId="5" xfId="4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5" borderId="8" xfId="4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5" borderId="10" xfId="4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6" borderId="5" xfId="5" applyBorder="1" applyAlignment="1">
      <alignment horizontal="center" vertical="center"/>
    </xf>
    <xf numFmtId="0" fontId="2" fillId="6" borderId="8" xfId="5" applyBorder="1" applyAlignment="1">
      <alignment horizontal="center" vertical="center"/>
    </xf>
    <xf numFmtId="0" fontId="2" fillId="6" borderId="10" xfId="5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4" borderId="1" xfId="3" applyBorder="1" applyAlignment="1">
      <alignment horizontal="center" vertical="center"/>
    </xf>
    <xf numFmtId="0" fontId="10" fillId="5" borderId="1" xfId="4" applyFont="1" applyBorder="1" applyAlignment="1">
      <alignment horizontal="center" vertical="center" wrapText="1"/>
    </xf>
    <xf numFmtId="0" fontId="9" fillId="6" borderId="1" xfId="5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4" fillId="3" borderId="1" xfId="2" applyBorder="1" applyAlignment="1">
      <alignment horizontal="center" vertical="center"/>
    </xf>
    <xf numFmtId="49" fontId="5" fillId="4" borderId="1" xfId="3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7" borderId="1" xfId="6" applyBorder="1" applyAlignment="1">
      <alignment horizontal="center" vertical="center"/>
    </xf>
    <xf numFmtId="0" fontId="2" fillId="7" borderId="9" xfId="6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7">
    <cellStyle name="20% - Accent1" xfId="5" builtinId="30"/>
    <cellStyle name="20% - Accent5" xfId="6" builtinId="46"/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CABD-984F-8A4A-9613-01FF3D551A8C}">
  <sheetPr codeName="Sheet1"/>
  <dimension ref="A1:AC610"/>
  <sheetViews>
    <sheetView tabSelected="1" topLeftCell="A454" zoomScale="75" workbookViewId="0">
      <selection activeCell="D512" sqref="D512"/>
    </sheetView>
  </sheetViews>
  <sheetFormatPr baseColWidth="10" defaultRowHeight="16" x14ac:dyDescent="0.2"/>
  <cols>
    <col min="1" max="1" width="7.5" bestFit="1" customWidth="1"/>
    <col min="2" max="2" width="16.6640625" bestFit="1" customWidth="1"/>
    <col min="3" max="3" width="16.6640625" customWidth="1"/>
    <col min="4" max="4" width="27.5" bestFit="1" customWidth="1"/>
    <col min="5" max="5" width="28.33203125" bestFit="1" customWidth="1"/>
    <col min="6" max="6" width="21.33203125" bestFit="1" customWidth="1"/>
    <col min="7" max="7" width="132.33203125" customWidth="1"/>
    <col min="8" max="8" width="20" bestFit="1" customWidth="1"/>
    <col min="9" max="9" width="19" bestFit="1" customWidth="1"/>
    <col min="10" max="11" width="12.6640625" bestFit="1" customWidth="1"/>
    <col min="12" max="12" width="12.5" bestFit="1" customWidth="1"/>
    <col min="13" max="28" width="13.6640625" bestFit="1" customWidth="1"/>
    <col min="29" max="29" width="13.6640625" customWidth="1"/>
  </cols>
  <sheetData>
    <row r="1" spans="1:29" x14ac:dyDescent="0.2">
      <c r="A1" s="29" t="s">
        <v>0</v>
      </c>
      <c r="B1" s="32" t="s">
        <v>2597</v>
      </c>
      <c r="C1" s="1"/>
      <c r="D1" s="29" t="s">
        <v>1</v>
      </c>
      <c r="E1" s="29" t="s">
        <v>2</v>
      </c>
      <c r="F1" s="29" t="s">
        <v>3</v>
      </c>
      <c r="G1" s="29" t="s">
        <v>4</v>
      </c>
      <c r="H1" s="27" t="s">
        <v>2764</v>
      </c>
      <c r="I1" s="27" t="s">
        <v>2765</v>
      </c>
      <c r="J1" s="29" t="s">
        <v>5</v>
      </c>
      <c r="K1" s="29" t="s">
        <v>6</v>
      </c>
      <c r="L1" s="29" t="s">
        <v>2766</v>
      </c>
      <c r="M1" s="29" t="s">
        <v>7</v>
      </c>
      <c r="N1" s="32" t="s">
        <v>2156</v>
      </c>
      <c r="O1" s="32"/>
      <c r="P1" s="32"/>
      <c r="Q1" s="32"/>
      <c r="R1" s="32" t="s">
        <v>2161</v>
      </c>
      <c r="S1" s="32"/>
      <c r="T1" s="32"/>
      <c r="U1" s="32"/>
      <c r="V1" s="32" t="s">
        <v>2162</v>
      </c>
      <c r="W1" s="32"/>
      <c r="X1" s="32"/>
      <c r="Y1" s="32"/>
      <c r="Z1" s="32" t="s">
        <v>2163</v>
      </c>
      <c r="AA1" s="32"/>
      <c r="AB1" s="32"/>
      <c r="AC1" s="32"/>
    </row>
    <row r="2" spans="1:29" ht="34" x14ac:dyDescent="0.2">
      <c r="A2" s="29"/>
      <c r="B2" s="32"/>
      <c r="C2" s="1" t="s">
        <v>2769</v>
      </c>
      <c r="D2" s="29"/>
      <c r="E2" s="29"/>
      <c r="F2" s="29"/>
      <c r="G2" s="29"/>
      <c r="H2" s="27"/>
      <c r="I2" s="27"/>
      <c r="J2" s="29"/>
      <c r="K2" s="29"/>
      <c r="L2" s="29"/>
      <c r="M2" s="29"/>
      <c r="N2" s="18" t="s">
        <v>2157</v>
      </c>
      <c r="O2" s="18" t="s">
        <v>2158</v>
      </c>
      <c r="P2" s="19" t="s">
        <v>2159</v>
      </c>
      <c r="Q2" s="19" t="s">
        <v>2160</v>
      </c>
      <c r="R2" s="18" t="s">
        <v>2157</v>
      </c>
      <c r="S2" s="18" t="s">
        <v>2158</v>
      </c>
      <c r="T2" s="19" t="s">
        <v>2159</v>
      </c>
      <c r="U2" s="19" t="s">
        <v>2160</v>
      </c>
      <c r="V2" s="18" t="s">
        <v>2157</v>
      </c>
      <c r="W2" s="18" t="s">
        <v>2158</v>
      </c>
      <c r="X2" s="19" t="s">
        <v>2159</v>
      </c>
      <c r="Y2" s="19" t="s">
        <v>2160</v>
      </c>
      <c r="Z2" s="18" t="s">
        <v>2157</v>
      </c>
      <c r="AA2" s="18" t="s">
        <v>2158</v>
      </c>
      <c r="AB2" s="19" t="s">
        <v>2159</v>
      </c>
      <c r="AC2" s="19" t="s">
        <v>2160</v>
      </c>
    </row>
    <row r="3" spans="1:29" x14ac:dyDescent="0.2">
      <c r="A3" s="1" t="s">
        <v>8</v>
      </c>
      <c r="B3" s="1" t="str">
        <f ca="1">IF(I3&lt;&gt;"", IF(I3 &lt;= TODAY(), "Closed", "Open"), IF(H3 &gt; TODAY(), "Will open in future", "Open"))</f>
        <v>Open</v>
      </c>
      <c r="C3" s="1" t="s">
        <v>2770</v>
      </c>
      <c r="D3" s="1" t="s">
        <v>9</v>
      </c>
      <c r="E3" s="1" t="s">
        <v>10</v>
      </c>
      <c r="F3" s="1" t="s">
        <v>11</v>
      </c>
      <c r="G3" s="1" t="s">
        <v>12</v>
      </c>
      <c r="H3" s="24">
        <v>43333</v>
      </c>
      <c r="I3" s="1"/>
      <c r="J3" s="1">
        <v>47.917465200000002</v>
      </c>
      <c r="K3" s="1">
        <v>106.923886</v>
      </c>
      <c r="L3" s="20">
        <v>0.29166666666666669</v>
      </c>
      <c r="M3" s="20">
        <v>0.99930555555555556</v>
      </c>
      <c r="N3" s="1">
        <v>1.1655737623751949</v>
      </c>
      <c r="O3" s="1">
        <v>192.17454459639131</v>
      </c>
      <c r="P3" s="1">
        <v>1.7277960026953405</v>
      </c>
      <c r="Q3" s="1">
        <v>129.28171146953403</v>
      </c>
      <c r="R3" s="1">
        <v>1.3528835859368471</v>
      </c>
      <c r="S3" s="1">
        <v>210.53122174738837</v>
      </c>
      <c r="T3" s="1">
        <v>1.6002927346068103</v>
      </c>
      <c r="U3" s="1">
        <v>125.77905985663081</v>
      </c>
      <c r="V3" s="1">
        <v>1.3087706212673504</v>
      </c>
      <c r="W3" s="1">
        <v>217.96723342830009</v>
      </c>
      <c r="X3" s="1">
        <v>1.5281241124469538</v>
      </c>
      <c r="Y3" s="1">
        <v>113.36084982078853</v>
      </c>
      <c r="Z3" s="1">
        <v>0.86325032326892115</v>
      </c>
      <c r="AA3" s="1">
        <v>171.38330542136339</v>
      </c>
      <c r="AB3" s="1">
        <v>1.3224837318609834</v>
      </c>
      <c r="AC3" s="1">
        <v>122.37071966205836</v>
      </c>
    </row>
    <row r="4" spans="1:29" x14ac:dyDescent="0.2">
      <c r="A4" s="1" t="s">
        <v>13</v>
      </c>
      <c r="B4" s="1" t="str">
        <f t="shared" ref="B4:B67" ca="1" si="0">IF(AND(NOT(ISBLANK(I4)), I4 &lt;= TODAY()), "Closed", IF(H4 &gt; TODAY(), "Will open in future", "Open"))</f>
        <v>Open</v>
      </c>
      <c r="C4" s="1" t="s">
        <v>2770</v>
      </c>
      <c r="D4" s="1" t="s">
        <v>14</v>
      </c>
      <c r="E4" s="1" t="s">
        <v>15</v>
      </c>
      <c r="F4" s="1" t="s">
        <v>11</v>
      </c>
      <c r="G4" s="1" t="s">
        <v>16</v>
      </c>
      <c r="H4" s="24">
        <v>43325</v>
      </c>
      <c r="I4" s="1"/>
      <c r="J4" s="1">
        <v>47.9161158</v>
      </c>
      <c r="K4" s="1">
        <v>106.916416</v>
      </c>
      <c r="L4" s="20">
        <v>0</v>
      </c>
      <c r="M4" s="20">
        <v>0.99930555555555556</v>
      </c>
      <c r="N4" s="1">
        <v>0.5970247368365621</v>
      </c>
      <c r="O4" s="1">
        <v>106.37927308641974</v>
      </c>
      <c r="P4" s="1">
        <v>0.78707864691720431</v>
      </c>
      <c r="Q4" s="1">
        <v>49.925647311827959</v>
      </c>
      <c r="R4" s="1">
        <v>0.60039718528679964</v>
      </c>
      <c r="S4" s="1">
        <v>103.73387844254512</v>
      </c>
      <c r="T4" s="1">
        <v>0.49209262786451619</v>
      </c>
      <c r="U4" s="1">
        <v>39.383734050179214</v>
      </c>
      <c r="V4" s="1">
        <v>1.0445549141024881</v>
      </c>
      <c r="W4" s="1">
        <v>166.77186993352328</v>
      </c>
      <c r="X4" s="1">
        <v>0.76616180733189954</v>
      </c>
      <c r="Y4" s="1">
        <v>52.649896057347661</v>
      </c>
      <c r="Z4" s="1">
        <v>0.40242720488674188</v>
      </c>
      <c r="AA4" s="1">
        <v>79.026800322061163</v>
      </c>
      <c r="AB4" s="1">
        <v>0.46205171628571429</v>
      </c>
      <c r="AC4" s="1">
        <v>35.00011827956989</v>
      </c>
    </row>
    <row r="5" spans="1:29" x14ac:dyDescent="0.2">
      <c r="A5" s="1" t="s">
        <v>17</v>
      </c>
      <c r="B5" s="1" t="str">
        <f t="shared" ca="1" si="0"/>
        <v>Open</v>
      </c>
      <c r="C5" s="1" t="s">
        <v>2770</v>
      </c>
      <c r="D5" s="1" t="s">
        <v>18</v>
      </c>
      <c r="E5" s="1" t="s">
        <v>19</v>
      </c>
      <c r="F5" s="1" t="s">
        <v>11</v>
      </c>
      <c r="G5" s="1" t="s">
        <v>20</v>
      </c>
      <c r="H5" s="24">
        <v>43325</v>
      </c>
      <c r="I5" s="1"/>
      <c r="J5" s="1">
        <v>47.918005399999998</v>
      </c>
      <c r="K5" s="1">
        <v>106.919838</v>
      </c>
      <c r="L5" s="20">
        <v>0.29166666666666669</v>
      </c>
      <c r="M5" s="20">
        <v>0.99930555555555556</v>
      </c>
      <c r="N5" s="1">
        <v>1.0792514900503132</v>
      </c>
      <c r="O5" s="1">
        <v>196.66226421652422</v>
      </c>
      <c r="P5" s="1">
        <v>1.112309676277061</v>
      </c>
      <c r="Q5" s="1">
        <v>118.43863906810037</v>
      </c>
      <c r="R5" s="1">
        <v>1.2322686147587845</v>
      </c>
      <c r="S5" s="1">
        <v>205.87840788224119</v>
      </c>
      <c r="T5" s="1">
        <v>1.2564149992806455</v>
      </c>
      <c r="U5" s="1">
        <v>121.83926021505378</v>
      </c>
      <c r="V5" s="1">
        <v>1.1623865785955712</v>
      </c>
      <c r="W5" s="1">
        <v>206.71939212121208</v>
      </c>
      <c r="X5" s="1">
        <v>1.2158139965595696</v>
      </c>
      <c r="Y5" s="1">
        <v>112.11025311827957</v>
      </c>
      <c r="Z5" s="1">
        <v>1.1790843868988603</v>
      </c>
      <c r="AA5" s="1">
        <v>217.51491452991448</v>
      </c>
      <c r="AB5" s="1">
        <v>1.1969080638972571</v>
      </c>
      <c r="AC5" s="1">
        <v>131.61652307932056</v>
      </c>
    </row>
    <row r="6" spans="1:29" x14ac:dyDescent="0.2">
      <c r="A6" s="1" t="s">
        <v>21</v>
      </c>
      <c r="B6" s="1" t="str">
        <f t="shared" ca="1" si="0"/>
        <v>Open</v>
      </c>
      <c r="C6" s="1" t="s">
        <v>2770</v>
      </c>
      <c r="D6" s="1" t="s">
        <v>22</v>
      </c>
      <c r="E6" s="1" t="s">
        <v>23</v>
      </c>
      <c r="F6" s="1" t="s">
        <v>11</v>
      </c>
      <c r="G6" s="1" t="s">
        <v>24</v>
      </c>
      <c r="H6" s="24">
        <v>43324</v>
      </c>
      <c r="I6" s="1"/>
      <c r="J6" s="1">
        <v>47.922252</v>
      </c>
      <c r="K6" s="1">
        <v>106.92111</v>
      </c>
      <c r="L6" s="20">
        <v>0</v>
      </c>
      <c r="M6" s="20">
        <v>0.99930555555555556</v>
      </c>
      <c r="N6" s="1">
        <v>1.5640134830969084</v>
      </c>
      <c r="O6" s="1">
        <v>244.32131285024153</v>
      </c>
      <c r="P6" s="1">
        <v>1.676425356040502</v>
      </c>
      <c r="Q6" s="1">
        <v>117.29259498207887</v>
      </c>
      <c r="R6" s="1">
        <v>1.401116638858974</v>
      </c>
      <c r="S6" s="1">
        <v>195.62666666666669</v>
      </c>
      <c r="T6" s="1">
        <v>1.3523087816096775</v>
      </c>
      <c r="U6" s="1">
        <v>110.11897060931905</v>
      </c>
      <c r="V6" s="1">
        <v>1.0581329499473968</v>
      </c>
      <c r="W6" s="1">
        <v>142.95395464304886</v>
      </c>
      <c r="X6" s="1">
        <v>0.7604673263258066</v>
      </c>
      <c r="Y6" s="1">
        <v>48.778202150537631</v>
      </c>
      <c r="Z6" s="1">
        <v>0.91530744697047772</v>
      </c>
      <c r="AA6" s="1">
        <v>165.16916639828233</v>
      </c>
      <c r="AB6" s="1">
        <v>1.7213551737227342</v>
      </c>
      <c r="AC6" s="1">
        <v>94.98297580645162</v>
      </c>
    </row>
    <row r="7" spans="1:29" x14ac:dyDescent="0.2">
      <c r="A7" s="1" t="s">
        <v>25</v>
      </c>
      <c r="B7" s="1" t="str">
        <f t="shared" ca="1" si="0"/>
        <v>Open</v>
      </c>
      <c r="C7" s="1" t="s">
        <v>2770</v>
      </c>
      <c r="D7" s="1" t="s">
        <v>26</v>
      </c>
      <c r="E7" s="1" t="s">
        <v>27</v>
      </c>
      <c r="F7" s="1" t="s">
        <v>28</v>
      </c>
      <c r="G7" s="1" t="s">
        <v>29</v>
      </c>
      <c r="H7" s="24">
        <v>43325</v>
      </c>
      <c r="I7" s="1"/>
      <c r="J7" s="1">
        <v>47.922650500000003</v>
      </c>
      <c r="K7" s="1">
        <v>106.884158</v>
      </c>
      <c r="L7" s="20">
        <v>0</v>
      </c>
      <c r="M7" s="20">
        <v>0.99930555555555556</v>
      </c>
      <c r="N7" s="1">
        <v>0.75054015033870847</v>
      </c>
      <c r="O7" s="1">
        <v>110.9893892497626</v>
      </c>
      <c r="P7" s="1">
        <v>0.92373396997060953</v>
      </c>
      <c r="Q7" s="1">
        <v>45.454144802867383</v>
      </c>
      <c r="R7" s="1">
        <v>0.83373394686752134</v>
      </c>
      <c r="S7" s="1">
        <v>108.39039886039886</v>
      </c>
      <c r="T7" s="1">
        <v>0.79817627054516127</v>
      </c>
      <c r="U7" s="1">
        <v>37.81691720430107</v>
      </c>
      <c r="V7" s="1">
        <v>0.93442814361050353</v>
      </c>
      <c r="W7" s="1">
        <v>118.5083617094017</v>
      </c>
      <c r="X7" s="1">
        <v>1.092040995979211</v>
      </c>
      <c r="Y7" s="1">
        <v>48.221862365591392</v>
      </c>
      <c r="Z7" s="1">
        <v>0.73606702165968863</v>
      </c>
      <c r="AA7" s="1">
        <v>127.16693505099302</v>
      </c>
      <c r="AB7" s="1">
        <v>0.75634993552304142</v>
      </c>
      <c r="AC7" s="1">
        <v>44.476680107526882</v>
      </c>
    </row>
    <row r="8" spans="1:29" x14ac:dyDescent="0.2">
      <c r="A8" s="1" t="s">
        <v>30</v>
      </c>
      <c r="B8" s="1" t="str">
        <f t="shared" ca="1" si="0"/>
        <v>Open</v>
      </c>
      <c r="C8" s="1" t="s">
        <v>2770</v>
      </c>
      <c r="D8" s="1" t="s">
        <v>31</v>
      </c>
      <c r="E8" s="1" t="s">
        <v>32</v>
      </c>
      <c r="F8" s="1" t="s">
        <v>33</v>
      </c>
      <c r="G8" s="1" t="s">
        <v>34</v>
      </c>
      <c r="H8" s="24">
        <v>43328</v>
      </c>
      <c r="I8" s="1"/>
      <c r="J8" s="1">
        <v>47.916130699999997</v>
      </c>
      <c r="K8" s="1">
        <v>106.902732</v>
      </c>
      <c r="L8" s="20">
        <v>0.29166666666666669</v>
      </c>
      <c r="M8" s="20">
        <v>0.99930555555555556</v>
      </c>
      <c r="N8" s="1">
        <v>1.0465472529305029</v>
      </c>
      <c r="O8" s="1">
        <v>181.9624896866097</v>
      </c>
      <c r="P8" s="1">
        <v>1.2688326805125447</v>
      </c>
      <c r="Q8" s="1">
        <v>71.104554121863814</v>
      </c>
      <c r="R8" s="1">
        <v>1.1652373955204178</v>
      </c>
      <c r="S8" s="1">
        <v>189.06280721747387</v>
      </c>
      <c r="T8" s="1">
        <v>1.4707275591168454</v>
      </c>
      <c r="U8" s="1">
        <v>79.690952688172032</v>
      </c>
      <c r="V8" s="1">
        <v>1.2797089448459638</v>
      </c>
      <c r="W8" s="1">
        <v>223.81680176638179</v>
      </c>
      <c r="X8" s="1">
        <v>1.3013817270473116</v>
      </c>
      <c r="Y8" s="1">
        <v>73.672702508960583</v>
      </c>
      <c r="Z8" s="1">
        <v>0.79350586859082883</v>
      </c>
      <c r="AA8" s="1">
        <v>133.20615696649031</v>
      </c>
      <c r="AB8" s="1">
        <v>1.0709777141485464</v>
      </c>
      <c r="AC8" s="1">
        <v>65.381070091596953</v>
      </c>
    </row>
    <row r="9" spans="1:29" x14ac:dyDescent="0.2">
      <c r="A9" s="1" t="s">
        <v>35</v>
      </c>
      <c r="B9" s="1" t="str">
        <f t="shared" ca="1" si="0"/>
        <v>Open</v>
      </c>
      <c r="C9" s="1" t="s">
        <v>2770</v>
      </c>
      <c r="D9" s="1" t="s">
        <v>36</v>
      </c>
      <c r="E9" s="1" t="s">
        <v>37</v>
      </c>
      <c r="F9" s="1" t="s">
        <v>11</v>
      </c>
      <c r="G9" s="1" t="s">
        <v>38</v>
      </c>
      <c r="H9" s="24">
        <v>43350</v>
      </c>
      <c r="I9" s="1"/>
      <c r="J9" s="1">
        <v>47.912952199999999</v>
      </c>
      <c r="K9" s="1">
        <v>106.921924</v>
      </c>
      <c r="L9" s="20">
        <v>0</v>
      </c>
      <c r="M9" s="20">
        <v>0.99930555555555556</v>
      </c>
      <c r="N9" s="1">
        <v>2.0667312350555367</v>
      </c>
      <c r="O9" s="1">
        <v>376.79418305792979</v>
      </c>
      <c r="P9" s="1">
        <v>3.3404150932989243</v>
      </c>
      <c r="Q9" s="1">
        <v>148.65347885304661</v>
      </c>
      <c r="R9" s="1">
        <v>2.1357463588219372</v>
      </c>
      <c r="S9" s="1">
        <v>368.56675546058881</v>
      </c>
      <c r="T9" s="1">
        <v>3.5000790364207881</v>
      </c>
      <c r="U9" s="1">
        <v>159.72394910394272</v>
      </c>
      <c r="V9" s="1">
        <v>2.8915529515931619</v>
      </c>
      <c r="W9" s="1">
        <v>506.6859711490979</v>
      </c>
      <c r="X9" s="1">
        <v>3.6882621178383506</v>
      </c>
      <c r="Y9" s="1">
        <v>170.78286164874555</v>
      </c>
      <c r="Z9" s="1">
        <v>1.635238896510802</v>
      </c>
      <c r="AA9" s="1">
        <v>307.79343672839508</v>
      </c>
      <c r="AB9" s="1">
        <v>3.0305696673644391</v>
      </c>
      <c r="AC9" s="1">
        <v>146.63204953917048</v>
      </c>
    </row>
    <row r="10" spans="1:29" x14ac:dyDescent="0.2">
      <c r="A10" s="1" t="s">
        <v>39</v>
      </c>
      <c r="B10" s="1" t="str">
        <f t="shared" ca="1" si="0"/>
        <v>Open</v>
      </c>
      <c r="C10" s="1" t="s">
        <v>2770</v>
      </c>
      <c r="D10" s="1" t="s">
        <v>40</v>
      </c>
      <c r="E10" s="1" t="s">
        <v>41</v>
      </c>
      <c r="F10" s="1" t="s">
        <v>33</v>
      </c>
      <c r="G10" s="1" t="s">
        <v>42</v>
      </c>
      <c r="H10" s="24">
        <v>43395</v>
      </c>
      <c r="I10" s="1"/>
      <c r="J10" s="1">
        <v>47.925348399999997</v>
      </c>
      <c r="K10" s="1">
        <v>106.91229</v>
      </c>
      <c r="L10" s="20">
        <v>0.29166666666666669</v>
      </c>
      <c r="M10" s="20">
        <v>0.99930555555555556</v>
      </c>
      <c r="N10" s="1">
        <v>0.51182500052229818</v>
      </c>
      <c r="O10" s="1">
        <v>85.722926229819564</v>
      </c>
      <c r="P10" s="1">
        <v>0.67391518307741938</v>
      </c>
      <c r="Q10" s="1">
        <v>35.570452329749109</v>
      </c>
      <c r="R10" s="1">
        <v>0.57965873630721754</v>
      </c>
      <c r="S10" s="1">
        <v>98.572669990503314</v>
      </c>
      <c r="T10" s="1">
        <v>0.73039978556594976</v>
      </c>
      <c r="U10" s="1">
        <v>38.56937885304658</v>
      </c>
      <c r="V10" s="1">
        <v>0.47191453097775882</v>
      </c>
      <c r="W10" s="1">
        <v>82.569666248812908</v>
      </c>
      <c r="X10" s="1">
        <v>0.70507758074336913</v>
      </c>
      <c r="Y10" s="1">
        <v>30.096662365591396</v>
      </c>
      <c r="Z10" s="1">
        <v>0.32858601973000534</v>
      </c>
      <c r="AA10" s="1">
        <v>62.000987654320994</v>
      </c>
      <c r="AB10" s="1">
        <v>0.37948022267165898</v>
      </c>
      <c r="AC10" s="1">
        <v>24.23723156682027</v>
      </c>
    </row>
    <row r="11" spans="1:29" x14ac:dyDescent="0.2">
      <c r="A11" s="1" t="s">
        <v>43</v>
      </c>
      <c r="B11" s="1" t="str">
        <f t="shared" ca="1" si="0"/>
        <v>Closed</v>
      </c>
      <c r="C11" s="1" t="s">
        <v>2770</v>
      </c>
      <c r="D11" s="1" t="s">
        <v>44</v>
      </c>
      <c r="E11" s="1" t="s">
        <v>45</v>
      </c>
      <c r="F11" s="1" t="s">
        <v>28</v>
      </c>
      <c r="G11" s="1" t="s">
        <v>46</v>
      </c>
      <c r="H11" s="24">
        <v>43401</v>
      </c>
      <c r="I11" s="24">
        <v>45889</v>
      </c>
      <c r="J11" s="1">
        <v>47.906575799999999</v>
      </c>
      <c r="K11" s="1">
        <v>106.89816500000001</v>
      </c>
      <c r="L11" s="20">
        <v>0</v>
      </c>
      <c r="M11" s="20">
        <v>0.99930555555555556</v>
      </c>
      <c r="N11" s="1">
        <v>0.73639092957822683</v>
      </c>
      <c r="O11" s="1">
        <v>120.83034189340572</v>
      </c>
      <c r="P11" s="1">
        <v>1.0305683280225519</v>
      </c>
      <c r="Q11" s="1">
        <v>50.741335744455974</v>
      </c>
      <c r="R11" s="1">
        <v>0.86799187319024107</v>
      </c>
      <c r="S11" s="1">
        <v>134.76648796427151</v>
      </c>
      <c r="T11" s="1">
        <v>1.1892954075266184</v>
      </c>
      <c r="U11" s="1">
        <v>73.572904922497415</v>
      </c>
      <c r="V11" s="1">
        <v>0.66421593386716038</v>
      </c>
      <c r="W11" s="1">
        <v>81.068666172839514</v>
      </c>
      <c r="X11" s="1">
        <v>1.3114197396637994</v>
      </c>
      <c r="Y11" s="1">
        <v>70.223310035842289</v>
      </c>
      <c r="Z11" s="1">
        <v>0.61668712407906823</v>
      </c>
      <c r="AA11" s="1">
        <v>111.42882484304808</v>
      </c>
      <c r="AB11" s="1">
        <v>0.75426453629546997</v>
      </c>
      <c r="AC11" s="1">
        <v>41.5584292989384</v>
      </c>
    </row>
    <row r="12" spans="1:29" x14ac:dyDescent="0.2">
      <c r="A12" s="1" t="s">
        <v>47</v>
      </c>
      <c r="B12" s="1" t="str">
        <f t="shared" ca="1" si="0"/>
        <v>Open</v>
      </c>
      <c r="C12" s="1" t="s">
        <v>2770</v>
      </c>
      <c r="D12" s="1" t="s">
        <v>2604</v>
      </c>
      <c r="E12" s="1" t="s">
        <v>2625</v>
      </c>
      <c r="F12" s="1" t="s">
        <v>48</v>
      </c>
      <c r="G12" s="1" t="s">
        <v>49</v>
      </c>
      <c r="H12" s="24">
        <v>43396</v>
      </c>
      <c r="I12" s="1"/>
      <c r="J12" s="1">
        <v>47.923628700000002</v>
      </c>
      <c r="K12" s="1">
        <v>106.942339</v>
      </c>
      <c r="L12" s="20">
        <v>0</v>
      </c>
      <c r="M12" s="20">
        <v>0.99930555555555556</v>
      </c>
      <c r="N12" s="1">
        <v>0.696102511463077</v>
      </c>
      <c r="O12" s="1">
        <v>104.96108153846154</v>
      </c>
      <c r="P12" s="1">
        <v>0.95558685884480277</v>
      </c>
      <c r="Q12" s="1">
        <v>39.991656989247311</v>
      </c>
      <c r="R12" s="1">
        <v>0.632728209377588</v>
      </c>
      <c r="S12" s="1">
        <v>82.439978822412158</v>
      </c>
      <c r="T12" s="1">
        <v>0.77109260792831547</v>
      </c>
      <c r="U12" s="1">
        <v>32.905333333333338</v>
      </c>
      <c r="V12" s="1">
        <v>0.74229387113687084</v>
      </c>
      <c r="W12" s="1">
        <v>104.05654582146251</v>
      </c>
      <c r="X12" s="1">
        <v>0.7543420270107527</v>
      </c>
      <c r="Y12" s="1">
        <v>33.007379211469527</v>
      </c>
      <c r="Z12" s="1">
        <v>0.5556218311528428</v>
      </c>
      <c r="AA12" s="1">
        <v>101.21486848755109</v>
      </c>
      <c r="AB12" s="1">
        <v>0.59369501147329595</v>
      </c>
      <c r="AC12" s="1">
        <v>33.582135667600376</v>
      </c>
    </row>
    <row r="13" spans="1:29" x14ac:dyDescent="0.2">
      <c r="A13" s="1" t="s">
        <v>50</v>
      </c>
      <c r="B13" s="1" t="str">
        <f t="shared" ca="1" si="0"/>
        <v>Open</v>
      </c>
      <c r="C13" s="1" t="s">
        <v>2770</v>
      </c>
      <c r="D13" s="1" t="s">
        <v>51</v>
      </c>
      <c r="E13" s="1">
        <v>64</v>
      </c>
      <c r="F13" s="1" t="s">
        <v>11</v>
      </c>
      <c r="G13" s="1" t="s">
        <v>52</v>
      </c>
      <c r="H13" s="24">
        <v>43398</v>
      </c>
      <c r="I13" s="1"/>
      <c r="J13" s="1">
        <v>47.922661599999998</v>
      </c>
      <c r="K13" s="1">
        <v>106.926514</v>
      </c>
      <c r="L13" s="20">
        <v>0</v>
      </c>
      <c r="M13" s="20">
        <v>0.99930555555555556</v>
      </c>
      <c r="N13" s="1">
        <v>1.457034333453618</v>
      </c>
      <c r="O13" s="1">
        <v>248.90799509971512</v>
      </c>
      <c r="P13" s="1">
        <v>2.2259576833369179</v>
      </c>
      <c r="Q13" s="1">
        <v>120.59208172043007</v>
      </c>
      <c r="R13" s="1">
        <v>1.4765032013599237</v>
      </c>
      <c r="S13" s="1">
        <v>231.84237986704656</v>
      </c>
      <c r="T13" s="1">
        <v>1.7422279587917562</v>
      </c>
      <c r="U13" s="1">
        <v>115.4782953405018</v>
      </c>
      <c r="V13" s="1">
        <v>1.0337185401444067</v>
      </c>
      <c r="W13" s="1">
        <v>171.94208662867996</v>
      </c>
      <c r="X13" s="1">
        <v>1.1916534457913981</v>
      </c>
      <c r="Y13" s="1">
        <v>68.171151254480264</v>
      </c>
      <c r="Z13" s="1">
        <v>1.0463830948593669</v>
      </c>
      <c r="AA13" s="1">
        <v>195.04569511540527</v>
      </c>
      <c r="AB13" s="1">
        <v>1.6044896660441628</v>
      </c>
      <c r="AC13" s="1">
        <v>80.473798003072218</v>
      </c>
    </row>
    <row r="14" spans="1:29" x14ac:dyDescent="0.2">
      <c r="A14" s="1" t="s">
        <v>53</v>
      </c>
      <c r="B14" s="1" t="str">
        <f t="shared" ca="1" si="0"/>
        <v>Open</v>
      </c>
      <c r="C14" s="1" t="s">
        <v>2770</v>
      </c>
      <c r="D14" s="1" t="s">
        <v>54</v>
      </c>
      <c r="E14" s="1" t="s">
        <v>55</v>
      </c>
      <c r="F14" s="1" t="s">
        <v>11</v>
      </c>
      <c r="G14" s="1" t="s">
        <v>56</v>
      </c>
      <c r="H14" s="24">
        <v>43419</v>
      </c>
      <c r="I14" s="1"/>
      <c r="J14" s="1">
        <v>47.914832500000003</v>
      </c>
      <c r="K14" s="1">
        <v>106.91172</v>
      </c>
      <c r="L14" s="20">
        <v>0</v>
      </c>
      <c r="M14" s="20">
        <v>0.99930555555555556</v>
      </c>
      <c r="N14" s="1">
        <v>0.77186029884345653</v>
      </c>
      <c r="O14" s="1">
        <v>135.34510995251659</v>
      </c>
      <c r="P14" s="1">
        <v>1.0166074461738355</v>
      </c>
      <c r="Q14" s="1">
        <v>74.231515770609349</v>
      </c>
      <c r="R14" s="1">
        <v>0.94871266412345678</v>
      </c>
      <c r="S14" s="1">
        <v>156.41665052231721</v>
      </c>
      <c r="T14" s="1">
        <v>0.96986544310860212</v>
      </c>
      <c r="U14" s="1">
        <v>75.589540501792115</v>
      </c>
      <c r="V14" s="1">
        <v>0.85777504066358967</v>
      </c>
      <c r="W14" s="1">
        <v>150.10705838556501</v>
      </c>
      <c r="X14" s="1">
        <v>0.90790971605232951</v>
      </c>
      <c r="Y14" s="1">
        <v>56.637746953405035</v>
      </c>
      <c r="Z14" s="1">
        <v>0.52730153496994092</v>
      </c>
      <c r="AA14" s="1">
        <v>95.673395061728399</v>
      </c>
      <c r="AB14" s="1">
        <v>0.59741503969086018</v>
      </c>
      <c r="AC14" s="1">
        <v>54.685522273425505</v>
      </c>
    </row>
    <row r="15" spans="1:29" x14ac:dyDescent="0.2">
      <c r="A15" s="1" t="s">
        <v>57</v>
      </c>
      <c r="B15" s="1" t="str">
        <f t="shared" ca="1" si="0"/>
        <v>Open</v>
      </c>
      <c r="C15" s="1" t="s">
        <v>2770</v>
      </c>
      <c r="D15" s="1" t="s">
        <v>58</v>
      </c>
      <c r="E15" s="1" t="s">
        <v>59</v>
      </c>
      <c r="F15" s="1" t="s">
        <v>11</v>
      </c>
      <c r="G15" s="1" t="s">
        <v>60</v>
      </c>
      <c r="H15" s="24">
        <v>43416</v>
      </c>
      <c r="I15" s="1"/>
      <c r="J15" s="1">
        <v>47.919880399999997</v>
      </c>
      <c r="K15" s="1">
        <v>106.926678</v>
      </c>
      <c r="L15" s="20">
        <v>0</v>
      </c>
      <c r="M15" s="20">
        <v>0.99930555555555556</v>
      </c>
      <c r="N15" s="1">
        <v>1.1956186057102376</v>
      </c>
      <c r="O15" s="1">
        <v>200.38503471984805</v>
      </c>
      <c r="P15" s="1">
        <v>1.7141037565845878</v>
      </c>
      <c r="Q15" s="1">
        <v>99.815522222222214</v>
      </c>
      <c r="R15" s="1">
        <v>1.0525266462720797</v>
      </c>
      <c r="S15" s="1">
        <v>152.4639064577398</v>
      </c>
      <c r="T15" s="1">
        <v>1.3762880501992829</v>
      </c>
      <c r="U15" s="1">
        <v>93.57041505376344</v>
      </c>
      <c r="V15" s="1">
        <v>0.69290650518864183</v>
      </c>
      <c r="W15" s="1">
        <v>106.00863578347582</v>
      </c>
      <c r="X15" s="1">
        <v>0.87781699254695333</v>
      </c>
      <c r="Y15" s="1">
        <v>44.770685304659501</v>
      </c>
      <c r="Z15" s="1">
        <v>0.73805360253240726</v>
      </c>
      <c r="AA15" s="1">
        <v>131.02953703703702</v>
      </c>
      <c r="AB15" s="1">
        <v>0.94059469125499218</v>
      </c>
      <c r="AC15" s="1">
        <v>66.797552227342564</v>
      </c>
    </row>
    <row r="16" spans="1:29" x14ac:dyDescent="0.2">
      <c r="A16" s="1" t="s">
        <v>61</v>
      </c>
      <c r="B16" s="1" t="str">
        <f t="shared" ca="1" si="0"/>
        <v>Open</v>
      </c>
      <c r="C16" s="1" t="s">
        <v>2770</v>
      </c>
      <c r="D16" s="1" t="s">
        <v>62</v>
      </c>
      <c r="E16" s="1" t="s">
        <v>63</v>
      </c>
      <c r="F16" s="1" t="s">
        <v>64</v>
      </c>
      <c r="G16" s="1" t="s">
        <v>65</v>
      </c>
      <c r="H16" s="24">
        <v>43428</v>
      </c>
      <c r="I16" s="1"/>
      <c r="J16" s="1">
        <v>47.900962399999997</v>
      </c>
      <c r="K16" s="1">
        <v>106.918623</v>
      </c>
      <c r="L16" s="20">
        <v>0.29166666666666669</v>
      </c>
      <c r="M16" s="20">
        <v>0.99930555555555556</v>
      </c>
      <c r="N16" s="1">
        <v>0.43984177408239322</v>
      </c>
      <c r="O16" s="1">
        <v>66.590020360873694</v>
      </c>
      <c r="P16" s="1">
        <v>0.77522843168351241</v>
      </c>
      <c r="Q16" s="1">
        <v>34.641976344086025</v>
      </c>
      <c r="R16" s="1">
        <v>0.47758028594216534</v>
      </c>
      <c r="S16" s="1">
        <v>69.745676410256422</v>
      </c>
      <c r="T16" s="1">
        <v>0.74097462772293898</v>
      </c>
      <c r="U16" s="1">
        <v>37.672188172043015</v>
      </c>
      <c r="V16" s="1">
        <v>0.59663751518638175</v>
      </c>
      <c r="W16" s="1">
        <v>95.749901386514708</v>
      </c>
      <c r="X16" s="1">
        <v>1.020351806388172</v>
      </c>
      <c r="Y16" s="1">
        <v>44.807884229390673</v>
      </c>
      <c r="Z16" s="1">
        <v>0.31188449473752011</v>
      </c>
      <c r="AA16" s="1">
        <v>56.914301127214173</v>
      </c>
      <c r="AB16" s="1">
        <v>0.35405512977304149</v>
      </c>
      <c r="AC16" s="1">
        <v>20.240566820276495</v>
      </c>
    </row>
    <row r="17" spans="1:29" x14ac:dyDescent="0.2">
      <c r="A17" s="1" t="s">
        <v>66</v>
      </c>
      <c r="B17" s="1" t="str">
        <f t="shared" ca="1" si="0"/>
        <v>Closed</v>
      </c>
      <c r="C17" s="1" t="s">
        <v>2770</v>
      </c>
      <c r="D17" s="1" t="s">
        <v>67</v>
      </c>
      <c r="E17" s="1" t="s">
        <v>68</v>
      </c>
      <c r="F17" s="1" t="s">
        <v>48</v>
      </c>
      <c r="G17" s="1" t="s">
        <v>69</v>
      </c>
      <c r="H17" s="24">
        <v>43442</v>
      </c>
      <c r="I17" s="24">
        <v>45931</v>
      </c>
      <c r="J17" s="1">
        <v>47.918301300000003</v>
      </c>
      <c r="K17" s="1">
        <v>106.934664</v>
      </c>
      <c r="L17" s="20">
        <v>0.29166666666666669</v>
      </c>
      <c r="M17" s="20">
        <v>0.99930555555555556</v>
      </c>
      <c r="N17" s="1">
        <v>0.416387888503301</v>
      </c>
      <c r="O17" s="1">
        <v>68.871785681913593</v>
      </c>
      <c r="P17" s="1">
        <v>0.4072229524463391</v>
      </c>
      <c r="Q17" s="1">
        <v>30.364749493726652</v>
      </c>
      <c r="R17" s="1">
        <v>0.78989502867029815</v>
      </c>
      <c r="S17" s="1">
        <v>116.36921208582895</v>
      </c>
      <c r="T17" s="1">
        <v>0.54244820131586557</v>
      </c>
      <c r="U17" s="1">
        <v>41.260718184146171</v>
      </c>
      <c r="V17" s="1">
        <v>0.80808327736905972</v>
      </c>
      <c r="W17" s="1">
        <v>117.38937810066477</v>
      </c>
      <c r="X17" s="1">
        <v>0.59196309870250907</v>
      </c>
      <c r="Y17" s="1">
        <v>35.766214336917564</v>
      </c>
      <c r="Z17" s="1">
        <v>0.61668712407906823</v>
      </c>
      <c r="AA17" s="1">
        <v>111.42882484304808</v>
      </c>
      <c r="AB17" s="1">
        <v>0.75426453629546997</v>
      </c>
      <c r="AC17" s="1">
        <v>41.5584292989384</v>
      </c>
    </row>
    <row r="18" spans="1:29" x14ac:dyDescent="0.2">
      <c r="A18" s="1" t="s">
        <v>70</v>
      </c>
      <c r="B18" s="1" t="str">
        <f t="shared" ca="1" si="0"/>
        <v>Open</v>
      </c>
      <c r="C18" s="1" t="s">
        <v>2770</v>
      </c>
      <c r="D18" s="1" t="s">
        <v>71</v>
      </c>
      <c r="E18" s="1" t="s">
        <v>72</v>
      </c>
      <c r="F18" s="1" t="s">
        <v>11</v>
      </c>
      <c r="G18" s="1" t="s">
        <v>73</v>
      </c>
      <c r="H18" s="24">
        <v>43444</v>
      </c>
      <c r="I18" s="1"/>
      <c r="J18" s="1">
        <v>47.916275499999998</v>
      </c>
      <c r="K18" s="1">
        <v>106.919842</v>
      </c>
      <c r="L18" s="20">
        <v>0</v>
      </c>
      <c r="M18" s="20">
        <v>0.99930555555555556</v>
      </c>
      <c r="N18" s="1">
        <v>1.8466282820760114</v>
      </c>
      <c r="O18" s="1">
        <v>308.84512374169043</v>
      </c>
      <c r="P18" s="1">
        <v>2.3681551471154125</v>
      </c>
      <c r="Q18" s="1">
        <v>146.36938888888889</v>
      </c>
      <c r="R18" s="1">
        <v>1.9134882683461536</v>
      </c>
      <c r="S18" s="1">
        <v>302.92013390313394</v>
      </c>
      <c r="T18" s="1">
        <v>2.2193556641627237</v>
      </c>
      <c r="U18" s="1">
        <v>140.71229175627238</v>
      </c>
      <c r="V18" s="1">
        <v>2.4260484679243493</v>
      </c>
      <c r="W18" s="1">
        <v>394.18374510921171</v>
      </c>
      <c r="X18" s="1">
        <v>2.4873755113741942</v>
      </c>
      <c r="Y18" s="1">
        <v>146.00763225806449</v>
      </c>
      <c r="Z18" s="1">
        <v>1.3338517279710145</v>
      </c>
      <c r="AA18" s="1">
        <v>272.52227053140103</v>
      </c>
      <c r="AB18" s="1">
        <v>1.7571646122830262</v>
      </c>
      <c r="AC18" s="1">
        <v>131.71455107526887</v>
      </c>
    </row>
    <row r="19" spans="1:29" x14ac:dyDescent="0.2">
      <c r="A19" s="1" t="s">
        <v>74</v>
      </c>
      <c r="B19" s="1" t="str">
        <f t="shared" ca="1" si="0"/>
        <v>Open</v>
      </c>
      <c r="C19" s="1" t="s">
        <v>2770</v>
      </c>
      <c r="D19" s="1" t="s">
        <v>75</v>
      </c>
      <c r="E19" s="1" t="s">
        <v>76</v>
      </c>
      <c r="F19" s="1" t="s">
        <v>28</v>
      </c>
      <c r="G19" s="1" t="s">
        <v>77</v>
      </c>
      <c r="H19" s="24">
        <v>43431</v>
      </c>
      <c r="I19" s="1"/>
      <c r="J19" s="1">
        <v>47.919041700000001</v>
      </c>
      <c r="K19" s="1">
        <v>106.885125</v>
      </c>
      <c r="L19" s="20">
        <v>0</v>
      </c>
      <c r="M19" s="20">
        <v>0.99930555555555556</v>
      </c>
      <c r="N19" s="1">
        <v>0.97219842992564098</v>
      </c>
      <c r="O19" s="1">
        <v>164.45402256410259</v>
      </c>
      <c r="P19" s="1">
        <v>1.5206292033867381</v>
      </c>
      <c r="Q19" s="1">
        <v>67.954727956989259</v>
      </c>
      <c r="R19" s="1">
        <v>0.95500943733189469</v>
      </c>
      <c r="S19" s="1">
        <v>139.86678941492218</v>
      </c>
      <c r="T19" s="1">
        <v>1.0368341657878135</v>
      </c>
      <c r="U19" s="1">
        <v>61.221798207885307</v>
      </c>
      <c r="V19" s="1">
        <v>1.2714869343533712</v>
      </c>
      <c r="W19" s="1">
        <v>203.36301156695154</v>
      </c>
      <c r="X19" s="1">
        <v>1.2574093644064515</v>
      </c>
      <c r="Y19" s="1">
        <v>65.738070609318996</v>
      </c>
      <c r="Z19" s="1">
        <v>0.86304529066058022</v>
      </c>
      <c r="AA19" s="1">
        <v>161.32270124320124</v>
      </c>
      <c r="AB19" s="1">
        <v>0.97417030096428558</v>
      </c>
      <c r="AC19" s="1">
        <v>57.246891321044565</v>
      </c>
    </row>
    <row r="20" spans="1:29" x14ac:dyDescent="0.2">
      <c r="A20" s="1" t="s">
        <v>78</v>
      </c>
      <c r="B20" s="1" t="str">
        <f t="shared" ca="1" si="0"/>
        <v>Open</v>
      </c>
      <c r="C20" s="1" t="s">
        <v>2770</v>
      </c>
      <c r="D20" s="1" t="s">
        <v>79</v>
      </c>
      <c r="E20" s="1" t="s">
        <v>80</v>
      </c>
      <c r="F20" s="1" t="s">
        <v>11</v>
      </c>
      <c r="G20" s="1" t="s">
        <v>81</v>
      </c>
      <c r="H20" s="24">
        <v>43448</v>
      </c>
      <c r="I20" s="1"/>
      <c r="J20" s="1">
        <v>47.928795100000002</v>
      </c>
      <c r="K20" s="1">
        <v>106.920102</v>
      </c>
      <c r="L20" s="20">
        <v>0</v>
      </c>
      <c r="M20" s="20">
        <v>0.99930555555555556</v>
      </c>
      <c r="N20" s="1">
        <v>0.80369145360615402</v>
      </c>
      <c r="O20" s="1">
        <v>131.09094765432098</v>
      </c>
      <c r="P20" s="1">
        <v>0.88414767972867414</v>
      </c>
      <c r="Q20" s="1">
        <v>47.342870967741952</v>
      </c>
      <c r="R20" s="1">
        <v>1.1007401482226971</v>
      </c>
      <c r="S20" s="1">
        <v>159.12894396961065</v>
      </c>
      <c r="T20" s="1">
        <v>0.8605189663462367</v>
      </c>
      <c r="U20" s="1">
        <v>50.833768458781371</v>
      </c>
      <c r="V20" s="1">
        <v>0.72202488666997156</v>
      </c>
      <c r="W20" s="1">
        <v>113.00358640075974</v>
      </c>
      <c r="X20" s="1">
        <v>0.80835697740716839</v>
      </c>
      <c r="Y20" s="1">
        <v>41.045582078853045</v>
      </c>
      <c r="Z20" s="1">
        <v>0.63882638234675249</v>
      </c>
      <c r="AA20" s="1">
        <v>119.9741315083199</v>
      </c>
      <c r="AB20" s="1">
        <v>0.65478688136635943</v>
      </c>
      <c r="AC20" s="1">
        <v>42.772060675883267</v>
      </c>
    </row>
    <row r="21" spans="1:29" x14ac:dyDescent="0.2">
      <c r="A21" s="1" t="s">
        <v>82</v>
      </c>
      <c r="B21" s="1" t="str">
        <f t="shared" ca="1" si="0"/>
        <v>Open</v>
      </c>
      <c r="C21" s="1" t="s">
        <v>2770</v>
      </c>
      <c r="D21" s="1" t="s">
        <v>83</v>
      </c>
      <c r="E21" s="1" t="s">
        <v>84</v>
      </c>
      <c r="F21" s="1" t="s">
        <v>33</v>
      </c>
      <c r="G21" s="1" t="s">
        <v>85</v>
      </c>
      <c r="H21" s="24">
        <v>43455</v>
      </c>
      <c r="I21" s="1"/>
      <c r="J21" s="1">
        <v>47.919084400000003</v>
      </c>
      <c r="K21" s="1">
        <v>106.90640500000001</v>
      </c>
      <c r="L21" s="20">
        <v>0.29166666666666669</v>
      </c>
      <c r="M21" s="20">
        <v>0.99930555555555556</v>
      </c>
      <c r="N21" s="1">
        <v>0.68209456455390305</v>
      </c>
      <c r="O21" s="1">
        <v>118.76065409306743</v>
      </c>
      <c r="P21" s="1">
        <v>1.3231426961139787</v>
      </c>
      <c r="Q21" s="1">
        <v>54.889650179211479</v>
      </c>
      <c r="R21" s="1">
        <v>0.81575654672174736</v>
      </c>
      <c r="S21" s="1">
        <v>129.62362440645774</v>
      </c>
      <c r="T21" s="1">
        <v>1.2139295797344085</v>
      </c>
      <c r="U21" s="1">
        <v>56.531663440860221</v>
      </c>
      <c r="V21" s="1">
        <v>0.82235214488788222</v>
      </c>
      <c r="W21" s="1">
        <v>139.67954497625831</v>
      </c>
      <c r="X21" s="1">
        <v>1.2509408088290324</v>
      </c>
      <c r="Y21" s="1">
        <v>56.342279569892469</v>
      </c>
      <c r="Z21" s="1">
        <v>0.46644395184848481</v>
      </c>
      <c r="AA21" s="1">
        <v>84.375297979797992</v>
      </c>
      <c r="AB21" s="1">
        <v>0.8179482042377112</v>
      </c>
      <c r="AC21" s="1">
        <v>39.501202380952378</v>
      </c>
    </row>
    <row r="22" spans="1:29" x14ac:dyDescent="0.2">
      <c r="A22" s="1" t="s">
        <v>86</v>
      </c>
      <c r="B22" s="1" t="str">
        <f t="shared" ca="1" si="0"/>
        <v>Open</v>
      </c>
      <c r="C22" s="1" t="s">
        <v>2770</v>
      </c>
      <c r="D22" s="1" t="s">
        <v>87</v>
      </c>
      <c r="E22" s="1" t="s">
        <v>88</v>
      </c>
      <c r="F22" s="1" t="s">
        <v>11</v>
      </c>
      <c r="G22" s="1" t="s">
        <v>89</v>
      </c>
      <c r="H22" s="24">
        <v>43498</v>
      </c>
      <c r="I22" s="1"/>
      <c r="J22" s="1">
        <v>47.913134700000001</v>
      </c>
      <c r="K22" s="1">
        <v>106.904791</v>
      </c>
      <c r="L22" s="20">
        <v>0</v>
      </c>
      <c r="M22" s="20">
        <v>0.99930555555555556</v>
      </c>
      <c r="N22" s="1">
        <v>0.90837087223487167</v>
      </c>
      <c r="O22" s="1">
        <v>169.8214194871795</v>
      </c>
      <c r="P22" s="1">
        <v>0.84891859844750928</v>
      </c>
      <c r="Q22" s="1">
        <v>51.265309961685823</v>
      </c>
      <c r="R22" s="1">
        <v>0.85105904137701804</v>
      </c>
      <c r="S22" s="1">
        <v>134.19603181386515</v>
      </c>
      <c r="T22" s="1">
        <v>0.8090787684946239</v>
      </c>
      <c r="U22" s="1">
        <v>57.973625448028677</v>
      </c>
      <c r="V22" s="1">
        <v>1.2021394235979679</v>
      </c>
      <c r="W22" s="1">
        <v>208.43640569800573</v>
      </c>
      <c r="X22" s="1">
        <v>0.8464062121039424</v>
      </c>
      <c r="Y22" s="1">
        <v>55.437156272401438</v>
      </c>
      <c r="Z22" s="1">
        <v>0.71401681031454645</v>
      </c>
      <c r="AA22" s="1">
        <v>134.82371014492753</v>
      </c>
      <c r="AB22" s="1">
        <v>0.7467663532772657</v>
      </c>
      <c r="AC22" s="1">
        <v>49.484127496159772</v>
      </c>
    </row>
    <row r="23" spans="1:29" x14ac:dyDescent="0.2">
      <c r="A23" s="1" t="s">
        <v>90</v>
      </c>
      <c r="B23" s="1" t="str">
        <f t="shared" ca="1" si="0"/>
        <v>Open</v>
      </c>
      <c r="C23" s="1" t="s">
        <v>2770</v>
      </c>
      <c r="D23" s="1" t="s">
        <v>91</v>
      </c>
      <c r="E23" s="1" t="s">
        <v>92</v>
      </c>
      <c r="F23" s="1" t="s">
        <v>64</v>
      </c>
      <c r="G23" s="1" t="s">
        <v>93</v>
      </c>
      <c r="H23" s="24">
        <v>43464</v>
      </c>
      <c r="I23" s="1"/>
      <c r="J23" s="1">
        <v>47.885853599999997</v>
      </c>
      <c r="K23" s="1">
        <v>106.915554</v>
      </c>
      <c r="L23" s="20">
        <v>0</v>
      </c>
      <c r="M23" s="20">
        <v>0.99930555555555556</v>
      </c>
      <c r="N23" s="1">
        <v>0.68728107116415982</v>
      </c>
      <c r="O23" s="1">
        <v>121.67203084520419</v>
      </c>
      <c r="P23" s="1">
        <v>0.46904168059971835</v>
      </c>
      <c r="Q23" s="1">
        <v>34.921832411674352</v>
      </c>
      <c r="R23" s="1">
        <v>0.79612756131386508</v>
      </c>
      <c r="S23" s="1">
        <v>122.01921035137703</v>
      </c>
      <c r="T23" s="1">
        <v>0.53677068904731173</v>
      </c>
      <c r="U23" s="1">
        <v>39.454320788530467</v>
      </c>
      <c r="V23" s="1">
        <v>0.85987841267000942</v>
      </c>
      <c r="W23" s="1">
        <v>128.14902488129155</v>
      </c>
      <c r="X23" s="1">
        <v>0.52432614269039679</v>
      </c>
      <c r="Y23" s="1">
        <v>36.014491286614756</v>
      </c>
      <c r="Z23" s="1">
        <v>0.51723048867059485</v>
      </c>
      <c r="AA23" s="1">
        <v>105.01504882154883</v>
      </c>
      <c r="AB23" s="1">
        <v>0.33889026714575859</v>
      </c>
      <c r="AC23" s="1">
        <v>30.978872162485072</v>
      </c>
    </row>
    <row r="24" spans="1:29" x14ac:dyDescent="0.2">
      <c r="A24" s="1" t="s">
        <v>94</v>
      </c>
      <c r="B24" s="1" t="str">
        <f t="shared" ca="1" si="0"/>
        <v>Open</v>
      </c>
      <c r="C24" s="1" t="s">
        <v>2770</v>
      </c>
      <c r="D24" s="1" t="s">
        <v>95</v>
      </c>
      <c r="E24" s="1" t="s">
        <v>96</v>
      </c>
      <c r="F24" s="1" t="s">
        <v>48</v>
      </c>
      <c r="G24" s="1" t="s">
        <v>97</v>
      </c>
      <c r="H24" s="24">
        <v>43462</v>
      </c>
      <c r="I24" s="1"/>
      <c r="J24" s="1">
        <v>47.918374300000004</v>
      </c>
      <c r="K24" s="1">
        <v>106.940129</v>
      </c>
      <c r="L24" s="20">
        <v>0</v>
      </c>
      <c r="M24" s="20">
        <v>0.99930555555555556</v>
      </c>
      <c r="N24" s="1">
        <v>0.48634546360746445</v>
      </c>
      <c r="O24" s="1">
        <v>82.01700169040835</v>
      </c>
      <c r="P24" s="1">
        <v>0.50178826507777774</v>
      </c>
      <c r="Q24" s="1">
        <v>30.273211111111099</v>
      </c>
      <c r="R24" s="1">
        <v>0.54838364875914059</v>
      </c>
      <c r="S24" s="1">
        <v>92.500245845204191</v>
      </c>
      <c r="T24" s="1">
        <v>0.5761781851017922</v>
      </c>
      <c r="U24" s="1">
        <v>37.369402508960569</v>
      </c>
      <c r="V24" s="1">
        <v>0.47620423918598292</v>
      </c>
      <c r="W24" s="1">
        <v>77.55157901234567</v>
      </c>
      <c r="X24" s="1">
        <v>0.51020923181257027</v>
      </c>
      <c r="Y24" s="1">
        <v>29.42123735279058</v>
      </c>
      <c r="Z24" s="1">
        <v>0.40797414666300363</v>
      </c>
      <c r="AA24" s="1">
        <v>90.30332078415411</v>
      </c>
      <c r="AB24" s="1">
        <v>0.49435894000268821</v>
      </c>
      <c r="AC24" s="1">
        <v>35.899133640552982</v>
      </c>
    </row>
    <row r="25" spans="1:29" x14ac:dyDescent="0.2">
      <c r="A25" s="1" t="s">
        <v>98</v>
      </c>
      <c r="B25" s="1" t="str">
        <f t="shared" ca="1" si="0"/>
        <v>Open</v>
      </c>
      <c r="C25" s="1" t="s">
        <v>2770</v>
      </c>
      <c r="D25" s="1" t="s">
        <v>99</v>
      </c>
      <c r="E25" s="1" t="s">
        <v>100</v>
      </c>
      <c r="F25" s="1" t="s">
        <v>33</v>
      </c>
      <c r="G25" s="1" t="s">
        <v>101</v>
      </c>
      <c r="H25" s="24">
        <v>43481</v>
      </c>
      <c r="I25" s="1"/>
      <c r="J25" s="1">
        <v>47.917939500000003</v>
      </c>
      <c r="K25" s="1">
        <v>106.915042</v>
      </c>
      <c r="L25" s="20">
        <v>0.29166666666666669</v>
      </c>
      <c r="M25" s="20">
        <v>0.99930555555555556</v>
      </c>
      <c r="N25" s="1">
        <v>0.64956038285259243</v>
      </c>
      <c r="O25" s="1">
        <v>100.86426617283951</v>
      </c>
      <c r="P25" s="1">
        <v>0.85626806446559112</v>
      </c>
      <c r="Q25" s="1">
        <v>54.554598924731202</v>
      </c>
      <c r="R25" s="1">
        <v>0.94335007931956316</v>
      </c>
      <c r="S25" s="1">
        <v>129.95235660018994</v>
      </c>
      <c r="T25" s="1">
        <v>1.0745786344580648</v>
      </c>
      <c r="U25" s="1">
        <v>62.971751254480303</v>
      </c>
      <c r="V25" s="1">
        <v>0.93853789921747399</v>
      </c>
      <c r="W25" s="1">
        <v>123.58005472459639</v>
      </c>
      <c r="X25" s="1">
        <v>0.97949240793620074</v>
      </c>
      <c r="Y25" s="1">
        <v>54.208927240143375</v>
      </c>
      <c r="Z25" s="1">
        <v>0.69563845581696171</v>
      </c>
      <c r="AA25" s="1">
        <v>123.03836876006444</v>
      </c>
      <c r="AB25" s="1">
        <v>0.87567556353444831</v>
      </c>
      <c r="AC25" s="1">
        <v>48.246389486260455</v>
      </c>
    </row>
    <row r="26" spans="1:29" x14ac:dyDescent="0.2">
      <c r="A26" s="1" t="s">
        <v>102</v>
      </c>
      <c r="B26" s="1" t="str">
        <f t="shared" ca="1" si="0"/>
        <v>Open</v>
      </c>
      <c r="C26" s="1" t="s">
        <v>2770</v>
      </c>
      <c r="D26" s="1" t="s">
        <v>103</v>
      </c>
      <c r="E26" s="1" t="s">
        <v>104</v>
      </c>
      <c r="F26" s="1" t="s">
        <v>28</v>
      </c>
      <c r="G26" s="1" t="s">
        <v>105</v>
      </c>
      <c r="H26" s="24">
        <v>43483</v>
      </c>
      <c r="I26" s="1"/>
      <c r="J26" s="1">
        <v>47.922243799999997</v>
      </c>
      <c r="K26" s="1">
        <v>106.869072</v>
      </c>
      <c r="L26" s="20">
        <v>0</v>
      </c>
      <c r="M26" s="20">
        <v>0.99930555555555556</v>
      </c>
      <c r="N26" s="1">
        <v>0.96331493590465334</v>
      </c>
      <c r="O26" s="1">
        <v>173.44517878442548</v>
      </c>
      <c r="P26" s="1">
        <v>1.2150693598648747</v>
      </c>
      <c r="Q26" s="1">
        <v>56.409609677419347</v>
      </c>
      <c r="R26" s="1">
        <v>0.92004497675403607</v>
      </c>
      <c r="S26" s="1">
        <v>134.10999999999999</v>
      </c>
      <c r="T26" s="1">
        <v>0.96917586492616492</v>
      </c>
      <c r="U26" s="1">
        <v>56.692455913978485</v>
      </c>
      <c r="V26" s="1">
        <v>0.99925592173578348</v>
      </c>
      <c r="W26" s="1">
        <v>152.1448258689459</v>
      </c>
      <c r="X26" s="1">
        <v>1.3043846664863796</v>
      </c>
      <c r="Y26" s="1">
        <v>52.246653046594965</v>
      </c>
      <c r="Z26" s="1">
        <v>0.77145864782984441</v>
      </c>
      <c r="AA26" s="1">
        <v>144.50564412238325</v>
      </c>
      <c r="AB26" s="1">
        <v>0.85466296333026115</v>
      </c>
      <c r="AC26" s="1">
        <v>43.764550691244231</v>
      </c>
    </row>
    <row r="27" spans="1:29" x14ac:dyDescent="0.2">
      <c r="A27" s="1" t="s">
        <v>106</v>
      </c>
      <c r="B27" s="1" t="str">
        <f t="shared" ca="1" si="0"/>
        <v>Open</v>
      </c>
      <c r="C27" s="1" t="s">
        <v>2770</v>
      </c>
      <c r="D27" s="1" t="s">
        <v>107</v>
      </c>
      <c r="E27" s="1" t="s">
        <v>108</v>
      </c>
      <c r="F27" s="1" t="s">
        <v>33</v>
      </c>
      <c r="G27" s="1" t="s">
        <v>109</v>
      </c>
      <c r="H27" s="24">
        <v>43581</v>
      </c>
      <c r="I27" s="1"/>
      <c r="J27" s="1">
        <v>47.9223541</v>
      </c>
      <c r="K27" s="1">
        <v>106.90944</v>
      </c>
      <c r="L27" s="20">
        <v>0</v>
      </c>
      <c r="M27" s="20">
        <v>0.99930555555555556</v>
      </c>
      <c r="N27" s="1">
        <v>1.0113731520937796</v>
      </c>
      <c r="O27" s="1">
        <v>190.12133701329535</v>
      </c>
      <c r="P27" s="1">
        <v>2.1469998610931902</v>
      </c>
      <c r="Q27" s="1">
        <v>54.80114086021505</v>
      </c>
      <c r="R27" s="1">
        <v>0.96840596321320049</v>
      </c>
      <c r="S27" s="1">
        <v>146.07993019943021</v>
      </c>
      <c r="T27" s="1">
        <v>1.5809738581899644</v>
      </c>
      <c r="U27" s="1">
        <v>49.944932258064512</v>
      </c>
      <c r="V27" s="1">
        <v>1.211888573931833</v>
      </c>
      <c r="W27" s="1">
        <v>217.83945878442555</v>
      </c>
      <c r="X27" s="1">
        <v>2.5069000081457165</v>
      </c>
      <c r="Y27" s="1">
        <v>64.509754171301452</v>
      </c>
      <c r="Z27" s="1">
        <v>0.6768825006485043</v>
      </c>
      <c r="AA27" s="1">
        <v>131.13495726495725</v>
      </c>
      <c r="AB27" s="1">
        <v>0.8051168524646698</v>
      </c>
      <c r="AC27" s="1">
        <v>44.298749999999991</v>
      </c>
    </row>
    <row r="28" spans="1:29" x14ac:dyDescent="0.2">
      <c r="A28" s="1" t="s">
        <v>110</v>
      </c>
      <c r="B28" s="1" t="str">
        <f t="shared" ca="1" si="0"/>
        <v>Closed</v>
      </c>
      <c r="C28" s="1" t="s">
        <v>2770</v>
      </c>
      <c r="D28" s="1" t="s">
        <v>111</v>
      </c>
      <c r="E28" s="1" t="s">
        <v>112</v>
      </c>
      <c r="F28" s="1" t="s">
        <v>48</v>
      </c>
      <c r="G28" s="1" t="s">
        <v>113</v>
      </c>
      <c r="H28" s="24">
        <v>43457</v>
      </c>
      <c r="I28" s="24">
        <v>45658</v>
      </c>
      <c r="J28" s="1">
        <v>47.878201400000002</v>
      </c>
      <c r="K28" s="1">
        <v>107.044343</v>
      </c>
      <c r="L28" s="1"/>
      <c r="M28" s="1"/>
      <c r="N28" s="1">
        <v>0.73639092957822683</v>
      </c>
      <c r="O28" s="1">
        <v>120.83034189340572</v>
      </c>
      <c r="P28" s="1">
        <v>1.0305683280225519</v>
      </c>
      <c r="Q28" s="1">
        <v>50.741335744455974</v>
      </c>
      <c r="R28" s="1">
        <v>0.77505565528977927</v>
      </c>
      <c r="S28" s="1">
        <v>110.38798636394478</v>
      </c>
      <c r="T28" s="1">
        <v>0.95323771147676561</v>
      </c>
      <c r="U28" s="1">
        <v>50.072527276006774</v>
      </c>
      <c r="V28" s="1">
        <v>0.92053739661526512</v>
      </c>
      <c r="W28" s="1">
        <v>133.18199833686319</v>
      </c>
      <c r="X28" s="1">
        <v>1.0622171211785376</v>
      </c>
      <c r="Y28" s="1">
        <v>52.728527320208435</v>
      </c>
      <c r="Z28" s="1">
        <v>0.61668712407906823</v>
      </c>
      <c r="AA28" s="1">
        <v>111.42882484304808</v>
      </c>
      <c r="AB28" s="1">
        <v>0.75426453629546997</v>
      </c>
      <c r="AC28" s="1">
        <v>41.5584292989384</v>
      </c>
    </row>
    <row r="29" spans="1:29" x14ac:dyDescent="0.2">
      <c r="A29" s="1" t="s">
        <v>114</v>
      </c>
      <c r="B29" s="1" t="str">
        <f t="shared" ca="1" si="0"/>
        <v>Open</v>
      </c>
      <c r="C29" s="1" t="s">
        <v>2770</v>
      </c>
      <c r="D29" s="1" t="s">
        <v>115</v>
      </c>
      <c r="E29" s="1" t="s">
        <v>116</v>
      </c>
      <c r="F29" s="1" t="s">
        <v>48</v>
      </c>
      <c r="G29" s="1" t="s">
        <v>117</v>
      </c>
      <c r="H29" s="24">
        <v>43500</v>
      </c>
      <c r="I29" s="1"/>
      <c r="J29" s="1">
        <v>47.904983100000003</v>
      </c>
      <c r="K29" s="1">
        <v>106.941188</v>
      </c>
      <c r="L29" s="20">
        <v>0</v>
      </c>
      <c r="M29" s="20">
        <v>0.99930555555555556</v>
      </c>
      <c r="N29" s="1">
        <v>0.81615154502501419</v>
      </c>
      <c r="O29" s="1">
        <v>166.36439071225072</v>
      </c>
      <c r="P29" s="1">
        <v>1.7502912456967747</v>
      </c>
      <c r="Q29" s="1">
        <v>63.529840860215053</v>
      </c>
      <c r="R29" s="1">
        <v>0.81166026888176646</v>
      </c>
      <c r="S29" s="1">
        <v>141.11360303893636</v>
      </c>
      <c r="T29" s="1">
        <v>1.8389742031860214</v>
      </c>
      <c r="U29" s="1">
        <v>63.379046594982093</v>
      </c>
      <c r="V29" s="1">
        <v>1.0680012922981577</v>
      </c>
      <c r="W29" s="1">
        <v>193.80412809116811</v>
      </c>
      <c r="X29" s="1">
        <v>1.7222912668634409</v>
      </c>
      <c r="Y29" s="1">
        <v>69.124996415770582</v>
      </c>
      <c r="Z29" s="1">
        <v>0.67999868019640852</v>
      </c>
      <c r="AA29" s="1">
        <v>140.43032716049387</v>
      </c>
      <c r="AB29" s="1">
        <v>1.3528019263559907</v>
      </c>
      <c r="AC29" s="1">
        <v>53.116616359446994</v>
      </c>
    </row>
    <row r="30" spans="1:29" x14ac:dyDescent="0.2">
      <c r="A30" s="1" t="s">
        <v>118</v>
      </c>
      <c r="B30" s="1" t="str">
        <f t="shared" ca="1" si="0"/>
        <v>Open</v>
      </c>
      <c r="C30" s="1" t="s">
        <v>2770</v>
      </c>
      <c r="D30" s="1" t="s">
        <v>119</v>
      </c>
      <c r="E30" s="1" t="s">
        <v>120</v>
      </c>
      <c r="F30" s="1" t="s">
        <v>11</v>
      </c>
      <c r="G30" s="1" t="s">
        <v>121</v>
      </c>
      <c r="H30" s="24">
        <v>43494</v>
      </c>
      <c r="I30" s="1"/>
      <c r="J30" s="1">
        <v>47.925919100000002</v>
      </c>
      <c r="K30" s="1">
        <v>106.920523</v>
      </c>
      <c r="L30" s="20">
        <v>0</v>
      </c>
      <c r="M30" s="20">
        <v>0.99930555555555556</v>
      </c>
      <c r="N30" s="1">
        <v>1.2159282680352328</v>
      </c>
      <c r="O30" s="1">
        <v>201.17408685660016</v>
      </c>
      <c r="P30" s="1">
        <v>2.3011548066039427</v>
      </c>
      <c r="Q30" s="1">
        <v>110.70524910394265</v>
      </c>
      <c r="R30" s="1">
        <v>1.208882535663343</v>
      </c>
      <c r="S30" s="1">
        <v>183.05626163342831</v>
      </c>
      <c r="T30" s="1">
        <v>1.9061961745767027</v>
      </c>
      <c r="U30" s="1">
        <v>101.67260716845875</v>
      </c>
      <c r="V30" s="1">
        <v>0.90706536693956308</v>
      </c>
      <c r="W30" s="1">
        <v>149.8408241785375</v>
      </c>
      <c r="X30" s="1">
        <v>1.5145860649007172</v>
      </c>
      <c r="Y30" s="1">
        <v>60.619510752688164</v>
      </c>
      <c r="Z30" s="1">
        <v>0.91750534850456267</v>
      </c>
      <c r="AA30" s="1">
        <v>162.92475415995708</v>
      </c>
      <c r="AB30" s="1">
        <v>1.3668113962964672</v>
      </c>
      <c r="AC30" s="1">
        <v>74.167939324116745</v>
      </c>
    </row>
    <row r="31" spans="1:29" x14ac:dyDescent="0.2">
      <c r="A31" s="1" t="s">
        <v>122</v>
      </c>
      <c r="B31" s="1" t="str">
        <f t="shared" ca="1" si="0"/>
        <v>Closed</v>
      </c>
      <c r="C31" s="1" t="s">
        <v>2770</v>
      </c>
      <c r="D31" s="1" t="s">
        <v>123</v>
      </c>
      <c r="E31" s="1" t="s">
        <v>124</v>
      </c>
      <c r="F31" s="1" t="s">
        <v>28</v>
      </c>
      <c r="G31" s="1" t="s">
        <v>125</v>
      </c>
      <c r="H31" s="24">
        <v>43531</v>
      </c>
      <c r="I31" s="24">
        <v>43775</v>
      </c>
      <c r="J31" s="1">
        <v>47.924313300000001</v>
      </c>
      <c r="K31" s="1">
        <v>106.891632</v>
      </c>
      <c r="L31" s="20">
        <v>0.29166666666666669</v>
      </c>
      <c r="M31" s="20">
        <v>0.99930555555555556</v>
      </c>
      <c r="N31" s="1">
        <v>0.73639092957822683</v>
      </c>
      <c r="O31" s="1">
        <v>120.83034189340572</v>
      </c>
      <c r="P31" s="1">
        <v>1.0305683280225519</v>
      </c>
      <c r="Q31" s="1">
        <v>50.741335744455974</v>
      </c>
      <c r="R31" s="1">
        <v>0.77505565528977927</v>
      </c>
      <c r="S31" s="1">
        <v>110.38798636394478</v>
      </c>
      <c r="T31" s="1">
        <v>0.95323771147676561</v>
      </c>
      <c r="U31" s="1">
        <v>50.072527276006774</v>
      </c>
      <c r="V31" s="1">
        <v>0.92053739661526512</v>
      </c>
      <c r="W31" s="1">
        <v>133.18199833686319</v>
      </c>
      <c r="X31" s="1">
        <v>1.0622171211785376</v>
      </c>
      <c r="Y31" s="1">
        <v>52.728527320208435</v>
      </c>
      <c r="Z31" s="1">
        <v>0.61668712407906823</v>
      </c>
      <c r="AA31" s="1">
        <v>111.42882484304808</v>
      </c>
      <c r="AB31" s="1">
        <v>0.75426453629546997</v>
      </c>
      <c r="AC31" s="1">
        <v>41.5584292989384</v>
      </c>
    </row>
    <row r="32" spans="1:29" x14ac:dyDescent="0.2">
      <c r="A32" s="1" t="s">
        <v>126</v>
      </c>
      <c r="B32" s="1" t="str">
        <f t="shared" ca="1" si="0"/>
        <v>Open</v>
      </c>
      <c r="C32" s="1" t="s">
        <v>2770</v>
      </c>
      <c r="D32" s="1" t="s">
        <v>127</v>
      </c>
      <c r="E32" s="1" t="s">
        <v>128</v>
      </c>
      <c r="F32" s="1" t="s">
        <v>11</v>
      </c>
      <c r="G32" s="1" t="s">
        <v>129</v>
      </c>
      <c r="H32" s="24">
        <v>43542</v>
      </c>
      <c r="I32" s="1"/>
      <c r="J32" s="1">
        <v>47.926798499999997</v>
      </c>
      <c r="K32" s="1">
        <v>106.92719</v>
      </c>
      <c r="L32" s="20">
        <v>0</v>
      </c>
      <c r="M32" s="20">
        <v>0.99930555555555556</v>
      </c>
      <c r="N32" s="1">
        <v>1.0262527347743398</v>
      </c>
      <c r="O32" s="1">
        <v>177.70477732193731</v>
      </c>
      <c r="P32" s="1">
        <v>1.5975858314494624</v>
      </c>
      <c r="Q32" s="1">
        <v>76.348802508960603</v>
      </c>
      <c r="R32" s="1">
        <v>1.0074353130574549</v>
      </c>
      <c r="S32" s="1">
        <v>150.79850474833808</v>
      </c>
      <c r="T32" s="1">
        <v>1.6630315341602155</v>
      </c>
      <c r="U32" s="1">
        <v>68.190845878136187</v>
      </c>
      <c r="V32" s="1">
        <v>1.0296141347037226</v>
      </c>
      <c r="W32" s="1">
        <v>158.84344195631527</v>
      </c>
      <c r="X32" s="1">
        <v>1.4094884181637994</v>
      </c>
      <c r="Y32" s="1">
        <v>59.289746236559154</v>
      </c>
      <c r="Z32" s="1">
        <v>0.91407252505432091</v>
      </c>
      <c r="AA32" s="1">
        <v>166.84616172839506</v>
      </c>
      <c r="AB32" s="1">
        <v>0.96570367207987706</v>
      </c>
      <c r="AC32" s="1">
        <v>52.659038402457774</v>
      </c>
    </row>
    <row r="33" spans="1:29" x14ac:dyDescent="0.2">
      <c r="A33" s="1" t="s">
        <v>130</v>
      </c>
      <c r="B33" s="1" t="str">
        <f t="shared" ca="1" si="0"/>
        <v>Open</v>
      </c>
      <c r="C33" s="1" t="s">
        <v>2770</v>
      </c>
      <c r="D33" s="1" t="s">
        <v>131</v>
      </c>
      <c r="E33" s="1" t="s">
        <v>132</v>
      </c>
      <c r="F33" s="1" t="s">
        <v>64</v>
      </c>
      <c r="G33" s="1" t="s">
        <v>133</v>
      </c>
      <c r="H33" s="24">
        <v>43549</v>
      </c>
      <c r="I33" s="1"/>
      <c r="J33" s="1">
        <v>47.903589799999999</v>
      </c>
      <c r="K33" s="1">
        <v>106.912975</v>
      </c>
      <c r="L33" s="20">
        <v>0</v>
      </c>
      <c r="M33" s="20">
        <v>0.99930555555555556</v>
      </c>
      <c r="N33" s="1">
        <v>1.5873506422360275</v>
      </c>
      <c r="O33" s="1">
        <v>293.39980045088572</v>
      </c>
      <c r="P33" s="1">
        <v>1.9114238214885297</v>
      </c>
      <c r="Q33" s="1">
        <v>83.898817204301054</v>
      </c>
      <c r="R33" s="1">
        <v>1.7485093204723077</v>
      </c>
      <c r="S33" s="1">
        <v>270.76096923076926</v>
      </c>
      <c r="T33" s="1">
        <v>2.1268279906584233</v>
      </c>
      <c r="U33" s="1">
        <v>97.197593906810027</v>
      </c>
      <c r="V33" s="1">
        <v>2.4312546955333332</v>
      </c>
      <c r="W33" s="1">
        <v>402.67032</v>
      </c>
      <c r="X33" s="1">
        <v>2.7177583478035836</v>
      </c>
      <c r="Y33" s="1">
        <v>120.55511935483872</v>
      </c>
      <c r="Z33" s="1">
        <v>1.3168279532418181</v>
      </c>
      <c r="AA33" s="1">
        <v>274.44297482517487</v>
      </c>
      <c r="AB33" s="1">
        <v>1.6089744445278031</v>
      </c>
      <c r="AC33" s="1">
        <v>78.680373732718891</v>
      </c>
    </row>
    <row r="34" spans="1:29" x14ac:dyDescent="0.2">
      <c r="A34" s="1" t="s">
        <v>134</v>
      </c>
      <c r="B34" s="1" t="str">
        <f t="shared" ca="1" si="0"/>
        <v>Open</v>
      </c>
      <c r="C34" s="1" t="s">
        <v>2770</v>
      </c>
      <c r="D34" s="1" t="s">
        <v>135</v>
      </c>
      <c r="E34" s="1" t="s">
        <v>136</v>
      </c>
      <c r="F34" s="1" t="s">
        <v>28</v>
      </c>
      <c r="G34" s="1" t="s">
        <v>137</v>
      </c>
      <c r="H34" s="24">
        <v>43577</v>
      </c>
      <c r="I34" s="1"/>
      <c r="J34" s="1">
        <v>47.922448699999997</v>
      </c>
      <c r="K34" s="1">
        <v>106.877779</v>
      </c>
      <c r="L34" s="20">
        <v>0</v>
      </c>
      <c r="M34" s="20">
        <v>0.99930555555555556</v>
      </c>
      <c r="N34" s="1">
        <v>0.86311385418281095</v>
      </c>
      <c r="O34" s="1">
        <v>149.12236026590691</v>
      </c>
      <c r="P34" s="1">
        <v>0.81045474653476723</v>
      </c>
      <c r="Q34" s="1">
        <v>54.214426523297469</v>
      </c>
      <c r="R34" s="1">
        <v>0.8690071826225072</v>
      </c>
      <c r="S34" s="1">
        <v>131.75849620132954</v>
      </c>
      <c r="T34" s="1">
        <v>0.81110202144372734</v>
      </c>
      <c r="U34" s="1">
        <v>57.088983154121848</v>
      </c>
      <c r="V34" s="1">
        <v>1.0997034363935232</v>
      </c>
      <c r="W34" s="1">
        <v>156.88725452991457</v>
      </c>
      <c r="X34" s="1">
        <v>0.97281282056630813</v>
      </c>
      <c r="Y34" s="1">
        <v>57.677788530465953</v>
      </c>
      <c r="Z34" s="1">
        <v>0.75491813527932095</v>
      </c>
      <c r="AA34" s="1">
        <v>130.62754629629629</v>
      </c>
      <c r="AB34" s="1">
        <v>0.59673718396466946</v>
      </c>
      <c r="AC34" s="1">
        <v>50.369866743471583</v>
      </c>
    </row>
    <row r="35" spans="1:29" x14ac:dyDescent="0.2">
      <c r="A35" s="1" t="s">
        <v>138</v>
      </c>
      <c r="B35" s="1" t="str">
        <f t="shared" ca="1" si="0"/>
        <v>Open</v>
      </c>
      <c r="C35" s="1" t="s">
        <v>2770</v>
      </c>
      <c r="D35" s="1" t="s">
        <v>139</v>
      </c>
      <c r="E35" s="1" t="s">
        <v>140</v>
      </c>
      <c r="F35" s="1" t="s">
        <v>64</v>
      </c>
      <c r="G35" s="1" t="s">
        <v>141</v>
      </c>
      <c r="H35" s="24">
        <v>45788</v>
      </c>
      <c r="I35" s="1"/>
      <c r="J35" s="1">
        <v>47.894993999999997</v>
      </c>
      <c r="K35" s="1">
        <v>106.921211</v>
      </c>
      <c r="L35" s="20">
        <v>0</v>
      </c>
      <c r="M35" s="20">
        <v>0.99930555555555556</v>
      </c>
      <c r="N35" s="1">
        <v>1.2964148328787084</v>
      </c>
      <c r="O35" s="1">
        <v>269.47403889838563</v>
      </c>
      <c r="P35" s="1">
        <v>5.1265894271903223</v>
      </c>
      <c r="Q35" s="1">
        <v>105.7332752688172</v>
      </c>
      <c r="R35" s="1">
        <v>1.1184510150171094</v>
      </c>
      <c r="S35" s="1">
        <v>191.25846295813514</v>
      </c>
      <c r="T35" s="1">
        <v>2.239389064429341</v>
      </c>
      <c r="U35" s="1">
        <v>78.768224233138113</v>
      </c>
      <c r="V35" s="1">
        <v>1.7130945830955744</v>
      </c>
      <c r="W35" s="1">
        <v>297.25636936372274</v>
      </c>
      <c r="X35" s="1">
        <v>3.2564730030982081</v>
      </c>
      <c r="Y35" s="1">
        <v>116.35609964157703</v>
      </c>
      <c r="Z35" s="1">
        <v>1.0092400413429952</v>
      </c>
      <c r="AA35" s="1">
        <v>204.95715351583465</v>
      </c>
      <c r="AB35" s="1">
        <v>2.6760832004527653</v>
      </c>
      <c r="AC35" s="1">
        <v>85.213238863287259</v>
      </c>
    </row>
    <row r="36" spans="1:29" x14ac:dyDescent="0.2">
      <c r="A36" s="1" t="s">
        <v>142</v>
      </c>
      <c r="B36" s="1" t="str">
        <f t="shared" ca="1" si="0"/>
        <v>Open</v>
      </c>
      <c r="C36" s="1" t="s">
        <v>2770</v>
      </c>
      <c r="D36" s="1" t="s">
        <v>143</v>
      </c>
      <c r="E36" s="1" t="s">
        <v>144</v>
      </c>
      <c r="F36" s="1" t="s">
        <v>145</v>
      </c>
      <c r="G36" s="1" t="s">
        <v>146</v>
      </c>
      <c r="H36" s="24">
        <v>43605</v>
      </c>
      <c r="I36" s="1"/>
      <c r="J36" s="1">
        <v>47.920469900000001</v>
      </c>
      <c r="K36" s="1">
        <v>106.817464</v>
      </c>
      <c r="L36" s="20">
        <v>0</v>
      </c>
      <c r="M36" s="20">
        <v>0.99930555555555556</v>
      </c>
      <c r="N36" s="1">
        <v>0.69368720223097824</v>
      </c>
      <c r="O36" s="1">
        <v>94.569009382716047</v>
      </c>
      <c r="P36" s="1">
        <v>0.95680372095053778</v>
      </c>
      <c r="Q36" s="1">
        <v>60.858954838709678</v>
      </c>
      <c r="R36" s="1">
        <v>0.73787731977302939</v>
      </c>
      <c r="S36" s="1">
        <v>96.39703798670466</v>
      </c>
      <c r="T36" s="1">
        <v>0.81519936250000002</v>
      </c>
      <c r="U36" s="1">
        <v>56.082600716845882</v>
      </c>
      <c r="V36" s="1">
        <v>0.85873812884142475</v>
      </c>
      <c r="W36" s="1">
        <v>109.19550522317191</v>
      </c>
      <c r="X36" s="1">
        <v>0.99797607957872503</v>
      </c>
      <c r="Y36" s="1">
        <v>64.93764938556069</v>
      </c>
      <c r="Z36" s="1">
        <v>0.60312715639452497</v>
      </c>
      <c r="AA36" s="1">
        <v>79.110007514761136</v>
      </c>
      <c r="AB36" s="1">
        <v>0.77098437647964679</v>
      </c>
      <c r="AC36" s="1">
        <v>51.3609661546339</v>
      </c>
    </row>
    <row r="37" spans="1:29" x14ac:dyDescent="0.2">
      <c r="A37" s="1" t="s">
        <v>147</v>
      </c>
      <c r="B37" s="1" t="str">
        <f t="shared" ca="1" si="0"/>
        <v>Open</v>
      </c>
      <c r="C37" s="1" t="s">
        <v>2770</v>
      </c>
      <c r="D37" s="1" t="s">
        <v>2605</v>
      </c>
      <c r="E37" s="1" t="s">
        <v>2626</v>
      </c>
      <c r="F37" s="1" t="s">
        <v>48</v>
      </c>
      <c r="G37" s="1" t="s">
        <v>148</v>
      </c>
      <c r="H37" s="24">
        <v>43590</v>
      </c>
      <c r="I37" s="1"/>
      <c r="J37" s="1">
        <v>47.905689099999996</v>
      </c>
      <c r="K37" s="1">
        <v>106.934572</v>
      </c>
      <c r="L37" s="20">
        <v>0.29166666666666669</v>
      </c>
      <c r="M37" s="20">
        <v>0.99930555555555556</v>
      </c>
      <c r="N37" s="1">
        <v>0.64923708043019934</v>
      </c>
      <c r="O37" s="1">
        <v>119.9819269135803</v>
      </c>
      <c r="P37" s="1">
        <v>2.5855631956770475</v>
      </c>
      <c r="Q37" s="1">
        <v>46.86249758991471</v>
      </c>
      <c r="R37" s="1">
        <v>0.78153566864862289</v>
      </c>
      <c r="S37" s="1">
        <v>121.97949382716051</v>
      </c>
      <c r="T37" s="1">
        <v>1.9942575633996418</v>
      </c>
      <c r="U37" s="1">
        <v>52.045233333333321</v>
      </c>
      <c r="V37" s="1">
        <v>0.91174618150978137</v>
      </c>
      <c r="W37" s="1">
        <v>146.1254063817664</v>
      </c>
      <c r="X37" s="1">
        <v>2.39604788975914</v>
      </c>
      <c r="Y37" s="1">
        <v>63.482994265232968</v>
      </c>
      <c r="Z37" s="1">
        <v>0.57052367912177326</v>
      </c>
      <c r="AA37" s="1">
        <v>98.747007295173987</v>
      </c>
      <c r="AB37" s="1">
        <v>1.4105910329004097</v>
      </c>
      <c r="AC37" s="1">
        <v>39.829280926779319</v>
      </c>
    </row>
    <row r="38" spans="1:29" x14ac:dyDescent="0.2">
      <c r="A38" s="1" t="s">
        <v>149</v>
      </c>
      <c r="B38" s="1" t="str">
        <f t="shared" ca="1" si="0"/>
        <v>Closed</v>
      </c>
      <c r="C38" s="1" t="s">
        <v>2770</v>
      </c>
      <c r="D38" s="1" t="s">
        <v>150</v>
      </c>
      <c r="E38" s="1" t="s">
        <v>151</v>
      </c>
      <c r="F38" s="1" t="s">
        <v>28</v>
      </c>
      <c r="G38" s="1" t="s">
        <v>152</v>
      </c>
      <c r="H38" s="24">
        <v>43612</v>
      </c>
      <c r="I38" s="24">
        <v>45661</v>
      </c>
      <c r="J38" s="1">
        <v>47.908398699999999</v>
      </c>
      <c r="K38" s="1">
        <v>106.88434700000001</v>
      </c>
      <c r="L38" s="1"/>
      <c r="M38" s="1"/>
      <c r="N38" s="1">
        <v>0.73639092957822683</v>
      </c>
      <c r="O38" s="1">
        <v>120.83034189340572</v>
      </c>
      <c r="P38" s="1">
        <v>1.0305683280225519</v>
      </c>
      <c r="Q38" s="1">
        <v>50.741335744455974</v>
      </c>
      <c r="R38" s="1">
        <v>0.77505565528977927</v>
      </c>
      <c r="S38" s="1">
        <v>110.38798636394478</v>
      </c>
      <c r="T38" s="1">
        <v>0.95323771147676561</v>
      </c>
      <c r="U38" s="1">
        <v>50.072527276006774</v>
      </c>
      <c r="V38" s="1">
        <v>0.92053739661526512</v>
      </c>
      <c r="W38" s="1">
        <v>133.18199833686319</v>
      </c>
      <c r="X38" s="1">
        <v>1.0622171211785376</v>
      </c>
      <c r="Y38" s="1">
        <v>52.728527320208435</v>
      </c>
      <c r="Z38" s="1">
        <v>0.61668712407906823</v>
      </c>
      <c r="AA38" s="1">
        <v>111.42882484304808</v>
      </c>
      <c r="AB38" s="1">
        <v>0.75426453629546997</v>
      </c>
      <c r="AC38" s="1">
        <v>41.5584292989384</v>
      </c>
    </row>
    <row r="39" spans="1:29" x14ac:dyDescent="0.2">
      <c r="A39" s="1" t="s">
        <v>153</v>
      </c>
      <c r="B39" s="1" t="str">
        <f t="shared" ca="1" si="0"/>
        <v>Open</v>
      </c>
      <c r="C39" s="1" t="s">
        <v>2770</v>
      </c>
      <c r="D39" s="1" t="s">
        <v>154</v>
      </c>
      <c r="E39" s="1" t="s">
        <v>155</v>
      </c>
      <c r="F39" s="1" t="s">
        <v>28</v>
      </c>
      <c r="G39" s="1" t="s">
        <v>2646</v>
      </c>
      <c r="H39" s="24">
        <v>43620</v>
      </c>
      <c r="I39" s="1"/>
      <c r="J39" s="1">
        <v>47.914242899999998</v>
      </c>
      <c r="K39" s="1">
        <v>106.866978</v>
      </c>
      <c r="L39" s="20">
        <v>0</v>
      </c>
      <c r="M39" s="20">
        <v>0.99930555555555556</v>
      </c>
      <c r="N39" s="1">
        <v>0.87658801969394107</v>
      </c>
      <c r="O39" s="1">
        <v>150.34787642924979</v>
      </c>
      <c r="P39" s="1">
        <v>1.1164447926698926</v>
      </c>
      <c r="Q39" s="1">
        <v>62.819310752688175</v>
      </c>
      <c r="R39" s="1">
        <v>0.89680244711680901</v>
      </c>
      <c r="S39" s="1">
        <v>152.82505650522316</v>
      </c>
      <c r="T39" s="1">
        <v>1.1141884591978497</v>
      </c>
      <c r="U39" s="1">
        <v>69.434872759856631</v>
      </c>
      <c r="V39" s="1">
        <v>0.90296017706018983</v>
      </c>
      <c r="W39" s="1">
        <v>151.57744926875591</v>
      </c>
      <c r="X39" s="1">
        <v>1.0765097935519714</v>
      </c>
      <c r="Y39" s="1">
        <v>60.124109318996403</v>
      </c>
      <c r="Z39" s="1">
        <v>0.71007116834084805</v>
      </c>
      <c r="AA39" s="1">
        <v>138.32115727321522</v>
      </c>
      <c r="AB39" s="1">
        <v>0.799603342488863</v>
      </c>
      <c r="AC39" s="1">
        <v>50.403772657450077</v>
      </c>
    </row>
    <row r="40" spans="1:29" x14ac:dyDescent="0.2">
      <c r="A40" s="1" t="s">
        <v>156</v>
      </c>
      <c r="B40" s="1" t="str">
        <f t="shared" ca="1" si="0"/>
        <v>Open</v>
      </c>
      <c r="C40" s="1" t="s">
        <v>2770</v>
      </c>
      <c r="D40" s="1" t="s">
        <v>157</v>
      </c>
      <c r="E40" s="1" t="s">
        <v>158</v>
      </c>
      <c r="F40" s="1" t="s">
        <v>64</v>
      </c>
      <c r="G40" s="1" t="s">
        <v>159</v>
      </c>
      <c r="H40" s="24">
        <v>43620</v>
      </c>
      <c r="I40" s="1"/>
      <c r="J40" s="1">
        <v>47.894685799999998</v>
      </c>
      <c r="K40" s="1">
        <v>106.93356799999999</v>
      </c>
      <c r="L40" s="20">
        <v>0.29166666666666669</v>
      </c>
      <c r="M40" s="20">
        <v>0.99930555555555556</v>
      </c>
      <c r="N40" s="1">
        <v>0.54624345661475771</v>
      </c>
      <c r="O40" s="1">
        <v>83.399617113010436</v>
      </c>
      <c r="P40" s="1">
        <v>1.271185588821147</v>
      </c>
      <c r="Q40" s="1">
        <v>43.285865591397851</v>
      </c>
      <c r="R40" s="1">
        <v>0.56387742700332388</v>
      </c>
      <c r="S40" s="1">
        <v>81.032066951566961</v>
      </c>
      <c r="T40" s="1">
        <v>1.5487485015057352</v>
      </c>
      <c r="U40" s="1">
        <v>38.75213189964159</v>
      </c>
      <c r="V40" s="1">
        <v>0.65412723942911677</v>
      </c>
      <c r="W40" s="1">
        <v>93.36176940170941</v>
      </c>
      <c r="X40" s="1">
        <v>1.2297558396813622</v>
      </c>
      <c r="Y40" s="1">
        <v>44.406089605734763</v>
      </c>
      <c r="Z40" s="1">
        <v>0.4021193228550724</v>
      </c>
      <c r="AA40" s="1">
        <v>68.947122383252804</v>
      </c>
      <c r="AB40" s="1">
        <v>1.0068594201854839</v>
      </c>
      <c r="AC40" s="1">
        <v>34.799973502304148</v>
      </c>
    </row>
    <row r="41" spans="1:29" x14ac:dyDescent="0.2">
      <c r="A41" s="1" t="s">
        <v>160</v>
      </c>
      <c r="B41" s="1" t="str">
        <f t="shared" ca="1" si="0"/>
        <v>Open</v>
      </c>
      <c r="C41" s="1" t="s">
        <v>2770</v>
      </c>
      <c r="D41" s="1" t="s">
        <v>161</v>
      </c>
      <c r="E41" s="1" t="s">
        <v>162</v>
      </c>
      <c r="F41" s="1" t="s">
        <v>48</v>
      </c>
      <c r="G41" s="1" t="s">
        <v>163</v>
      </c>
      <c r="H41" s="24">
        <v>43629</v>
      </c>
      <c r="I41" s="1"/>
      <c r="J41" s="1">
        <v>47.918075299999998</v>
      </c>
      <c r="K41" s="1">
        <v>106.93150900000001</v>
      </c>
      <c r="L41" s="20">
        <v>0</v>
      </c>
      <c r="M41" s="20">
        <v>0.99930555555555556</v>
      </c>
      <c r="N41" s="1">
        <v>1.079470275130636</v>
      </c>
      <c r="O41" s="1">
        <v>170.32137798670465</v>
      </c>
      <c r="P41" s="1">
        <v>2.6632771293498205</v>
      </c>
      <c r="Q41" s="1">
        <v>90.561097849462342</v>
      </c>
      <c r="R41" s="1">
        <v>1.2587547342450143</v>
      </c>
      <c r="S41" s="1">
        <v>169.16736087369421</v>
      </c>
      <c r="T41" s="1">
        <v>2.2699672793401429</v>
      </c>
      <c r="U41" s="1">
        <v>90.068759139784945</v>
      </c>
      <c r="V41" s="1">
        <v>0.9968064242225001</v>
      </c>
      <c r="W41" s="1">
        <v>130.88123694444448</v>
      </c>
      <c r="X41" s="1">
        <v>2.4493441457951266</v>
      </c>
      <c r="Y41" s="1">
        <v>74.346685575048724</v>
      </c>
      <c r="Z41" s="1">
        <v>0.98415797002737515</v>
      </c>
      <c r="AA41" s="1">
        <v>165.43031400966183</v>
      </c>
      <c r="AB41" s="1">
        <v>1.746784061124808</v>
      </c>
      <c r="AC41" s="1">
        <v>79.405076036866376</v>
      </c>
    </row>
    <row r="42" spans="1:29" x14ac:dyDescent="0.2">
      <c r="A42" s="1" t="s">
        <v>164</v>
      </c>
      <c r="B42" s="1" t="str">
        <f t="shared" ca="1" si="0"/>
        <v>Open</v>
      </c>
      <c r="C42" s="1" t="s">
        <v>2770</v>
      </c>
      <c r="D42" s="1" t="s">
        <v>165</v>
      </c>
      <c r="E42" s="1" t="s">
        <v>166</v>
      </c>
      <c r="F42" s="1" t="s">
        <v>33</v>
      </c>
      <c r="G42" s="1" t="s">
        <v>167</v>
      </c>
      <c r="H42" s="24">
        <v>43633</v>
      </c>
      <c r="I42" s="1"/>
      <c r="J42" s="1">
        <v>47.917191000000003</v>
      </c>
      <c r="K42" s="1">
        <v>106.91308100000001</v>
      </c>
      <c r="L42" s="20">
        <v>0.29166666666666669</v>
      </c>
      <c r="M42" s="20">
        <v>0.99930555555555556</v>
      </c>
      <c r="N42" s="1">
        <v>0.50232516272828109</v>
      </c>
      <c r="O42" s="1">
        <v>87.969367331434</v>
      </c>
      <c r="P42" s="1">
        <v>0.9760274363605731</v>
      </c>
      <c r="Q42" s="1">
        <v>32.674447311827954</v>
      </c>
      <c r="R42" s="1">
        <v>0.59629349549844257</v>
      </c>
      <c r="S42" s="1">
        <v>100.29718357075024</v>
      </c>
      <c r="T42" s="1">
        <v>0.57963578397311832</v>
      </c>
      <c r="U42" s="1">
        <v>36.878096057347683</v>
      </c>
      <c r="V42" s="1">
        <v>0.56056270402307706</v>
      </c>
      <c r="W42" s="1">
        <v>88.084989990503331</v>
      </c>
      <c r="X42" s="1">
        <v>0.68735481645770602</v>
      </c>
      <c r="Y42" s="1">
        <v>31.94338387096774</v>
      </c>
      <c r="Z42" s="1">
        <v>0.32406275269886037</v>
      </c>
      <c r="AA42" s="1">
        <v>63.668397245963924</v>
      </c>
      <c r="AB42" s="1">
        <v>0.39876782540115779</v>
      </c>
      <c r="AC42" s="1">
        <v>21.88149627791563</v>
      </c>
    </row>
    <row r="43" spans="1:29" x14ac:dyDescent="0.2">
      <c r="A43" s="1" t="s">
        <v>168</v>
      </c>
      <c r="B43" s="1" t="str">
        <f t="shared" ca="1" si="0"/>
        <v>Open</v>
      </c>
      <c r="C43" s="1" t="s">
        <v>2770</v>
      </c>
      <c r="D43" s="1" t="s">
        <v>169</v>
      </c>
      <c r="E43" s="1" t="s">
        <v>170</v>
      </c>
      <c r="F43" s="1" t="s">
        <v>64</v>
      </c>
      <c r="G43" s="1" t="s">
        <v>171</v>
      </c>
      <c r="H43" s="24">
        <v>43637</v>
      </c>
      <c r="I43" s="1"/>
      <c r="J43" s="1">
        <v>47.890468300000002</v>
      </c>
      <c r="K43" s="1">
        <v>106.898089</v>
      </c>
      <c r="L43" s="20">
        <v>0.29166666666666669</v>
      </c>
      <c r="M43" s="20">
        <v>0.99930555555555556</v>
      </c>
      <c r="N43" s="1">
        <v>0.37540494342767333</v>
      </c>
      <c r="O43" s="1">
        <v>61.164316429249759</v>
      </c>
      <c r="P43" s="1">
        <v>1.58700408751828</v>
      </c>
      <c r="Q43" s="1">
        <v>28.274508602150533</v>
      </c>
      <c r="R43" s="1">
        <v>0.52528490510262627</v>
      </c>
      <c r="S43" s="1">
        <v>82.859940000000009</v>
      </c>
      <c r="T43" s="1">
        <v>1.1820129555094552</v>
      </c>
      <c r="U43" s="1">
        <v>38.364170189098992</v>
      </c>
      <c r="V43" s="1">
        <v>0.59784417556725389</v>
      </c>
      <c r="W43" s="1">
        <v>100.08961404644738</v>
      </c>
      <c r="X43" s="1">
        <v>1.5778790259086026</v>
      </c>
      <c r="Y43" s="1">
        <v>40.349103942652313</v>
      </c>
      <c r="Z43" s="1">
        <v>0.33128583209876544</v>
      </c>
      <c r="AA43" s="1">
        <v>64.356802469135786</v>
      </c>
      <c r="AB43" s="1">
        <v>0.94293055346543764</v>
      </c>
      <c r="AC43" s="1">
        <v>21.843925883256532</v>
      </c>
    </row>
    <row r="44" spans="1:29" x14ac:dyDescent="0.2">
      <c r="A44" s="1" t="s">
        <v>172</v>
      </c>
      <c r="B44" s="1" t="str">
        <f t="shared" ca="1" si="0"/>
        <v>Open</v>
      </c>
      <c r="C44" s="1" t="s">
        <v>2770</v>
      </c>
      <c r="D44" s="1" t="s">
        <v>173</v>
      </c>
      <c r="E44" s="1" t="s">
        <v>174</v>
      </c>
      <c r="F44" s="1" t="s">
        <v>11</v>
      </c>
      <c r="G44" s="1" t="s">
        <v>175</v>
      </c>
      <c r="H44" s="24">
        <v>43642</v>
      </c>
      <c r="I44" s="1"/>
      <c r="J44" s="1">
        <v>47.912286799999997</v>
      </c>
      <c r="K44" s="1">
        <v>106.928378</v>
      </c>
      <c r="L44" s="20">
        <v>0</v>
      </c>
      <c r="M44" s="20">
        <v>0.99930555555555556</v>
      </c>
      <c r="N44" s="1">
        <v>0.82602108706839539</v>
      </c>
      <c r="O44" s="1">
        <v>153.12030408357074</v>
      </c>
      <c r="P44" s="1">
        <v>2.1970465021698931</v>
      </c>
      <c r="Q44" s="1">
        <v>79.235566308243733</v>
      </c>
      <c r="R44" s="1">
        <v>0.92478909807075016</v>
      </c>
      <c r="S44" s="1">
        <v>147.1557559354226</v>
      </c>
      <c r="T44" s="1">
        <v>1.9963407825526882</v>
      </c>
      <c r="U44" s="1">
        <v>88.240789247311838</v>
      </c>
      <c r="V44" s="1">
        <v>1.0438515828175119</v>
      </c>
      <c r="W44" s="1">
        <v>168.92895238366575</v>
      </c>
      <c r="X44" s="1">
        <v>2.1096515879985662</v>
      </c>
      <c r="Y44" s="1">
        <v>84.102810394265234</v>
      </c>
      <c r="Z44" s="1">
        <v>0.66160614933782258</v>
      </c>
      <c r="AA44" s="1">
        <v>124.61261503928171</v>
      </c>
      <c r="AB44" s="1">
        <v>1.4729218239704303</v>
      </c>
      <c r="AC44" s="1">
        <v>64.67234715821813</v>
      </c>
    </row>
    <row r="45" spans="1:29" x14ac:dyDescent="0.2">
      <c r="A45" s="1" t="s">
        <v>176</v>
      </c>
      <c r="B45" s="1" t="str">
        <f t="shared" ca="1" si="0"/>
        <v>Open</v>
      </c>
      <c r="C45" s="1" t="s">
        <v>2770</v>
      </c>
      <c r="D45" s="1" t="s">
        <v>177</v>
      </c>
      <c r="E45" s="1" t="s">
        <v>178</v>
      </c>
      <c r="F45" s="1" t="s">
        <v>48</v>
      </c>
      <c r="G45" s="1" t="s">
        <v>179</v>
      </c>
      <c r="H45" s="24">
        <v>43643</v>
      </c>
      <c r="I45" s="1"/>
      <c r="J45" s="1">
        <v>47.910260299999997</v>
      </c>
      <c r="K45" s="1">
        <v>106.933063</v>
      </c>
      <c r="L45" s="20">
        <v>0</v>
      </c>
      <c r="M45" s="20">
        <v>0.99930555555555556</v>
      </c>
      <c r="N45" s="1">
        <v>0.56321812632548907</v>
      </c>
      <c r="O45" s="1">
        <v>105.05422539411205</v>
      </c>
      <c r="P45" s="1">
        <v>0.96165570587311822</v>
      </c>
      <c r="Q45" s="1">
        <v>53.354522580645146</v>
      </c>
      <c r="R45" s="1">
        <v>0.63703453488461537</v>
      </c>
      <c r="S45" s="1">
        <v>100.75228300094967</v>
      </c>
      <c r="T45" s="1">
        <v>0.97506894705412173</v>
      </c>
      <c r="U45" s="1">
        <v>50.716341935483854</v>
      </c>
      <c r="V45" s="1">
        <v>0.76825940528036085</v>
      </c>
      <c r="W45" s="1">
        <v>132.57497188983857</v>
      </c>
      <c r="X45" s="1">
        <v>1.3972934052630823</v>
      </c>
      <c r="Y45" s="1">
        <v>54.641031541218616</v>
      </c>
      <c r="Z45" s="1">
        <v>0.62613602721244066</v>
      </c>
      <c r="AA45" s="1">
        <v>127.49937307692308</v>
      </c>
      <c r="AB45" s="1">
        <v>0.84689600768020712</v>
      </c>
      <c r="AC45" s="1">
        <v>40.907862604540021</v>
      </c>
    </row>
    <row r="46" spans="1:29" x14ac:dyDescent="0.2">
      <c r="A46" s="1" t="s">
        <v>180</v>
      </c>
      <c r="B46" s="1" t="str">
        <f t="shared" ca="1" si="0"/>
        <v>Closed</v>
      </c>
      <c r="C46" s="1" t="s">
        <v>2770</v>
      </c>
      <c r="D46" s="1" t="s">
        <v>181</v>
      </c>
      <c r="E46" s="1" t="s">
        <v>182</v>
      </c>
      <c r="F46" s="1" t="s">
        <v>28</v>
      </c>
      <c r="G46" s="1" t="s">
        <v>183</v>
      </c>
      <c r="H46" s="24">
        <v>43665</v>
      </c>
      <c r="I46" s="24">
        <v>45910</v>
      </c>
      <c r="J46" s="1">
        <v>47.911434</v>
      </c>
      <c r="K46" s="1">
        <v>106.878827</v>
      </c>
      <c r="L46" s="20">
        <v>0.29166666666666669</v>
      </c>
      <c r="M46" s="20">
        <v>0.99930555555555556</v>
      </c>
      <c r="N46" s="1">
        <v>0.5370105470159916</v>
      </c>
      <c r="O46" s="1">
        <v>90.796640490025993</v>
      </c>
      <c r="P46" s="1">
        <v>0.73981681718533088</v>
      </c>
      <c r="Q46" s="1">
        <v>40.919422421418588</v>
      </c>
      <c r="R46" s="1">
        <v>0.45220673037732562</v>
      </c>
      <c r="S46" s="1">
        <v>74.714483215933413</v>
      </c>
      <c r="T46" s="1">
        <v>0.66617233578683333</v>
      </c>
      <c r="U46" s="1">
        <v>36.691654384863014</v>
      </c>
      <c r="V46" s="1">
        <v>0.40076523022507127</v>
      </c>
      <c r="W46" s="1">
        <v>66.216547597340934</v>
      </c>
      <c r="X46" s="1">
        <v>0.54726154819354844</v>
      </c>
      <c r="Y46" s="1">
        <v>28.135377060931898</v>
      </c>
      <c r="Z46" s="1">
        <v>0.61668712407906823</v>
      </c>
      <c r="AA46" s="1">
        <v>111.42882484304808</v>
      </c>
      <c r="AB46" s="1">
        <v>0.75426453629546997</v>
      </c>
      <c r="AC46" s="1">
        <v>41.5584292989384</v>
      </c>
    </row>
    <row r="47" spans="1:29" x14ac:dyDescent="0.2">
      <c r="A47" s="1" t="s">
        <v>184</v>
      </c>
      <c r="B47" s="1" t="str">
        <f t="shared" ca="1" si="0"/>
        <v>Closed</v>
      </c>
      <c r="C47" s="1" t="s">
        <v>2770</v>
      </c>
      <c r="D47" s="1" t="s">
        <v>185</v>
      </c>
      <c r="E47" s="1" t="s">
        <v>186</v>
      </c>
      <c r="F47" s="1" t="s">
        <v>48</v>
      </c>
      <c r="G47" s="1" t="s">
        <v>187</v>
      </c>
      <c r="H47" s="24">
        <v>43654</v>
      </c>
      <c r="I47" s="24">
        <v>45146</v>
      </c>
      <c r="J47" s="1">
        <v>47.9169962</v>
      </c>
      <c r="K47" s="1">
        <v>106.935278</v>
      </c>
      <c r="L47" s="20">
        <v>0</v>
      </c>
      <c r="M47" s="20">
        <v>0.99930555555555556</v>
      </c>
      <c r="N47" s="1">
        <v>0.73639092957822683</v>
      </c>
      <c r="O47" s="1">
        <v>120.83034189340572</v>
      </c>
      <c r="P47" s="1">
        <v>1.0305683280225519</v>
      </c>
      <c r="Q47" s="1">
        <v>50.741335744455974</v>
      </c>
      <c r="R47" s="1">
        <v>0.77505565528977927</v>
      </c>
      <c r="S47" s="1">
        <v>110.38798636394478</v>
      </c>
      <c r="T47" s="1">
        <v>0.95323771147676561</v>
      </c>
      <c r="U47" s="1">
        <v>50.072527276006774</v>
      </c>
      <c r="V47" s="1">
        <v>0.92053739661526512</v>
      </c>
      <c r="W47" s="1">
        <v>133.18199833686319</v>
      </c>
      <c r="X47" s="1">
        <v>1.0622171211785376</v>
      </c>
      <c r="Y47" s="1">
        <v>52.728527320208435</v>
      </c>
      <c r="Z47" s="1">
        <v>0.61668712407906823</v>
      </c>
      <c r="AA47" s="1">
        <v>111.42882484304808</v>
      </c>
      <c r="AB47" s="1">
        <v>0.75426453629546997</v>
      </c>
      <c r="AC47" s="1">
        <v>41.5584292989384</v>
      </c>
    </row>
    <row r="48" spans="1:29" x14ac:dyDescent="0.2">
      <c r="A48" s="1" t="s">
        <v>188</v>
      </c>
      <c r="B48" s="1" t="str">
        <f t="shared" ca="1" si="0"/>
        <v>Open</v>
      </c>
      <c r="C48" s="1" t="s">
        <v>2770</v>
      </c>
      <c r="D48" s="1" t="s">
        <v>189</v>
      </c>
      <c r="E48" s="1" t="s">
        <v>190</v>
      </c>
      <c r="F48" s="1" t="s">
        <v>28</v>
      </c>
      <c r="G48" s="1" t="s">
        <v>2647</v>
      </c>
      <c r="H48" s="24">
        <v>43681</v>
      </c>
      <c r="I48" s="1"/>
      <c r="J48" s="1">
        <v>47.913137999999996</v>
      </c>
      <c r="K48" s="1">
        <v>106.884079</v>
      </c>
      <c r="L48" s="20">
        <v>0</v>
      </c>
      <c r="M48" s="20">
        <v>0.99930555555555556</v>
      </c>
      <c r="N48" s="1">
        <v>0.90793057342180417</v>
      </c>
      <c r="O48" s="1">
        <v>142.07827392212732</v>
      </c>
      <c r="P48" s="1">
        <v>1.5727926210659502</v>
      </c>
      <c r="Q48" s="1">
        <v>60.588759856630816</v>
      </c>
      <c r="R48" s="1">
        <v>0.82662613288717957</v>
      </c>
      <c r="S48" s="1">
        <v>98.602578205128225</v>
      </c>
      <c r="T48" s="1">
        <v>1.3805977673194449</v>
      </c>
      <c r="U48" s="1">
        <v>54.474962365591402</v>
      </c>
      <c r="V48" s="1">
        <v>1.031281457094549</v>
      </c>
      <c r="W48" s="1">
        <v>132.60954736942071</v>
      </c>
      <c r="X48" s="1">
        <v>1.5867902506641574</v>
      </c>
      <c r="Y48" s="1">
        <v>63.302908960573461</v>
      </c>
      <c r="Z48" s="1">
        <v>0.75192884636661306</v>
      </c>
      <c r="AA48" s="1">
        <v>124.60185721953837</v>
      </c>
      <c r="AB48" s="1">
        <v>0.97684942285522247</v>
      </c>
      <c r="AC48" s="1">
        <v>50.247836405529945</v>
      </c>
    </row>
    <row r="49" spans="1:29" x14ac:dyDescent="0.2">
      <c r="A49" s="1" t="s">
        <v>191</v>
      </c>
      <c r="B49" s="1" t="str">
        <f t="shared" ca="1" si="0"/>
        <v>Open</v>
      </c>
      <c r="C49" s="1" t="s">
        <v>2770</v>
      </c>
      <c r="D49" s="1" t="s">
        <v>192</v>
      </c>
      <c r="E49" s="1" t="s">
        <v>193</v>
      </c>
      <c r="F49" s="1" t="s">
        <v>48</v>
      </c>
      <c r="G49" s="1" t="s">
        <v>194</v>
      </c>
      <c r="H49" s="24">
        <v>43669</v>
      </c>
      <c r="I49" s="1"/>
      <c r="J49" s="1">
        <v>47.9130568</v>
      </c>
      <c r="K49" s="1">
        <v>106.948369</v>
      </c>
      <c r="L49" s="20">
        <v>0</v>
      </c>
      <c r="M49" s="20">
        <v>0.99930555555555556</v>
      </c>
      <c r="N49" s="1">
        <v>0.78994507237943024</v>
      </c>
      <c r="O49" s="1">
        <v>140.56354867996205</v>
      </c>
      <c r="P49" s="1">
        <v>0.96906670738136214</v>
      </c>
      <c r="Q49" s="1">
        <v>74.409577777777798</v>
      </c>
      <c r="R49" s="1">
        <v>0.81989010322697065</v>
      </c>
      <c r="S49" s="1">
        <v>126.69232146248812</v>
      </c>
      <c r="T49" s="1">
        <v>1.0939760454713261</v>
      </c>
      <c r="U49" s="1">
        <v>73.891455555555567</v>
      </c>
      <c r="V49" s="1">
        <v>0.9091026334214245</v>
      </c>
      <c r="W49" s="1">
        <v>150.17914609686611</v>
      </c>
      <c r="X49" s="1">
        <v>1.0330298353311826</v>
      </c>
      <c r="Y49" s="1">
        <v>71.458266308243708</v>
      </c>
      <c r="Z49" s="1">
        <v>0.77414752950112253</v>
      </c>
      <c r="AA49" s="1">
        <v>142.08397699214368</v>
      </c>
      <c r="AB49" s="1">
        <v>1.2114614196962366</v>
      </c>
      <c r="AC49" s="1">
        <v>69.49143778801843</v>
      </c>
    </row>
    <row r="50" spans="1:29" x14ac:dyDescent="0.2">
      <c r="A50" s="1" t="s">
        <v>195</v>
      </c>
      <c r="B50" s="1" t="str">
        <f t="shared" ca="1" si="0"/>
        <v>Open</v>
      </c>
      <c r="C50" s="1" t="s">
        <v>2770</v>
      </c>
      <c r="D50" s="1" t="s">
        <v>196</v>
      </c>
      <c r="E50" s="1" t="s">
        <v>197</v>
      </c>
      <c r="F50" s="1" t="s">
        <v>28</v>
      </c>
      <c r="G50" s="1" t="s">
        <v>198</v>
      </c>
      <c r="H50" s="24">
        <v>43681</v>
      </c>
      <c r="I50" s="1"/>
      <c r="J50" s="1">
        <v>47.923637599999999</v>
      </c>
      <c r="K50" s="1">
        <v>106.875434</v>
      </c>
      <c r="L50" s="20">
        <v>0</v>
      </c>
      <c r="M50" s="20">
        <v>0.99930555555555556</v>
      </c>
      <c r="N50" s="1">
        <v>1.0138020148943212</v>
      </c>
      <c r="O50" s="1">
        <v>168.20885481481488</v>
      </c>
      <c r="P50" s="1">
        <v>0.65243861354408594</v>
      </c>
      <c r="Q50" s="1">
        <v>59.760326164874549</v>
      </c>
      <c r="R50" s="1">
        <v>0.98033062813798677</v>
      </c>
      <c r="S50" s="1">
        <v>137.36011504273506</v>
      </c>
      <c r="T50" s="1">
        <v>0.62172175770680993</v>
      </c>
      <c r="U50" s="1">
        <v>55.67959605734768</v>
      </c>
      <c r="V50" s="1">
        <v>1.0990804831064815</v>
      </c>
      <c r="W50" s="1">
        <v>173.72175403608739</v>
      </c>
      <c r="X50" s="1">
        <v>0.6870730564555555</v>
      </c>
      <c r="Y50" s="1">
        <v>55.299866308243715</v>
      </c>
      <c r="Z50" s="1">
        <v>0.81909471908641984</v>
      </c>
      <c r="AA50" s="1">
        <v>150.26922544283411</v>
      </c>
      <c r="AB50" s="1">
        <v>0.48178332904339483</v>
      </c>
      <c r="AC50" s="1">
        <v>51.535007296466972</v>
      </c>
    </row>
    <row r="51" spans="1:29" x14ac:dyDescent="0.2">
      <c r="A51" s="1" t="s">
        <v>199</v>
      </c>
      <c r="B51" s="1" t="str">
        <f t="shared" ca="1" si="0"/>
        <v>Open</v>
      </c>
      <c r="C51" s="1" t="s">
        <v>2770</v>
      </c>
      <c r="D51" s="1" t="s">
        <v>200</v>
      </c>
      <c r="E51" s="1" t="s">
        <v>201</v>
      </c>
      <c r="F51" s="1" t="s">
        <v>28</v>
      </c>
      <c r="G51" s="1" t="s">
        <v>202</v>
      </c>
      <c r="H51" s="24">
        <v>43695</v>
      </c>
      <c r="I51" s="1"/>
      <c r="J51" s="1">
        <v>47.914027900000001</v>
      </c>
      <c r="K51" s="1">
        <v>106.891306</v>
      </c>
      <c r="L51" s="20">
        <v>0</v>
      </c>
      <c r="M51" s="20">
        <v>0.99930555555555556</v>
      </c>
      <c r="N51" s="1">
        <v>1.2597586664986513</v>
      </c>
      <c r="O51" s="1">
        <v>204.14071650522317</v>
      </c>
      <c r="P51" s="1">
        <v>1.5013166651308243</v>
      </c>
      <c r="Q51" s="1">
        <v>95.232999283154143</v>
      </c>
      <c r="R51" s="1">
        <v>1.37670803268566</v>
      </c>
      <c r="S51" s="1">
        <v>192.99620132953467</v>
      </c>
      <c r="T51" s="1">
        <v>1.608249036467025</v>
      </c>
      <c r="U51" s="1">
        <v>100.59924982078856</v>
      </c>
      <c r="V51" s="1">
        <v>1.4796225380831529</v>
      </c>
      <c r="W51" s="1">
        <v>216.84639842355182</v>
      </c>
      <c r="X51" s="1">
        <v>1.6955298437354838</v>
      </c>
      <c r="Y51" s="1">
        <v>97.005392831541215</v>
      </c>
      <c r="Z51" s="1">
        <v>1.0604089216119161</v>
      </c>
      <c r="AA51" s="1">
        <v>192.28368867418146</v>
      </c>
      <c r="AB51" s="1">
        <v>1.274745988516897</v>
      </c>
      <c r="AC51" s="1">
        <v>75.340589477726581</v>
      </c>
    </row>
    <row r="52" spans="1:29" x14ac:dyDescent="0.2">
      <c r="A52" s="1" t="s">
        <v>203</v>
      </c>
      <c r="B52" s="1" t="str">
        <f t="shared" ca="1" si="0"/>
        <v>Open</v>
      </c>
      <c r="C52" s="1" t="s">
        <v>2770</v>
      </c>
      <c r="D52" s="1" t="s">
        <v>204</v>
      </c>
      <c r="E52" s="1" t="s">
        <v>205</v>
      </c>
      <c r="F52" s="1" t="s">
        <v>11</v>
      </c>
      <c r="G52" s="1" t="s">
        <v>206</v>
      </c>
      <c r="H52" s="24">
        <v>43696</v>
      </c>
      <c r="I52" s="1"/>
      <c r="J52" s="1">
        <v>47.914046499999998</v>
      </c>
      <c r="K52" s="1">
        <v>106.91508399999999</v>
      </c>
      <c r="L52" s="20">
        <v>0</v>
      </c>
      <c r="M52" s="20">
        <v>0.99930555555555556</v>
      </c>
      <c r="N52" s="1">
        <v>0.79245246466674268</v>
      </c>
      <c r="O52" s="1">
        <v>137.56428583095916</v>
      </c>
      <c r="P52" s="1">
        <v>1.1708090639469535</v>
      </c>
      <c r="Q52" s="1">
        <v>58.555649462365587</v>
      </c>
      <c r="R52" s="1">
        <v>0.76324485655925922</v>
      </c>
      <c r="S52" s="1">
        <v>111.83889192782526</v>
      </c>
      <c r="T52" s="1">
        <v>0.71076680737933084</v>
      </c>
      <c r="U52" s="1">
        <v>52.394203703703703</v>
      </c>
      <c r="V52" s="1">
        <v>1.0106298775678255</v>
      </c>
      <c r="W52" s="1">
        <v>170.70498786324788</v>
      </c>
      <c r="X52" s="1">
        <v>1.1239388695347667</v>
      </c>
      <c r="Y52" s="1">
        <v>60.901610035842303</v>
      </c>
      <c r="Z52" s="1">
        <v>0.52353374363821803</v>
      </c>
      <c r="AA52" s="1">
        <v>106.78778421900158</v>
      </c>
      <c r="AB52" s="1">
        <v>0.52362957440322566</v>
      </c>
      <c r="AC52" s="1">
        <v>39.735607142857141</v>
      </c>
    </row>
    <row r="53" spans="1:29" x14ac:dyDescent="0.2">
      <c r="A53" s="1" t="s">
        <v>207</v>
      </c>
      <c r="B53" s="1" t="str">
        <f t="shared" ca="1" si="0"/>
        <v>Open</v>
      </c>
      <c r="C53" s="1" t="s">
        <v>2770</v>
      </c>
      <c r="D53" s="1" t="s">
        <v>208</v>
      </c>
      <c r="E53" s="1" t="s">
        <v>209</v>
      </c>
      <c r="F53" s="1" t="s">
        <v>64</v>
      </c>
      <c r="G53" s="1" t="s">
        <v>210</v>
      </c>
      <c r="H53" s="24">
        <v>43759</v>
      </c>
      <c r="I53" s="1"/>
      <c r="J53" s="1">
        <v>47.898170999999998</v>
      </c>
      <c r="K53" s="1">
        <v>106.908964</v>
      </c>
      <c r="L53" s="20">
        <v>0.29166666666666669</v>
      </c>
      <c r="M53" s="20">
        <v>0.99930555555555556</v>
      </c>
      <c r="N53" s="1">
        <v>0.87131569291369892</v>
      </c>
      <c r="O53" s="1">
        <v>159.92760909306745</v>
      </c>
      <c r="P53" s="1">
        <v>1.6814604349709674</v>
      </c>
      <c r="Q53" s="1">
        <v>81.855997491039432</v>
      </c>
      <c r="R53" s="1">
        <v>1.0607297178979107</v>
      </c>
      <c r="S53" s="1">
        <v>164.88188461538459</v>
      </c>
      <c r="T53" s="1">
        <v>1.587711057972043</v>
      </c>
      <c r="U53" s="1">
        <v>80.682287096774189</v>
      </c>
      <c r="V53" s="1">
        <v>1.113605589782374</v>
      </c>
      <c r="W53" s="1">
        <v>182.20473642924978</v>
      </c>
      <c r="X53" s="1">
        <v>1.7348762366551973</v>
      </c>
      <c r="Y53" s="1">
        <v>84.726592831541225</v>
      </c>
      <c r="Z53" s="1">
        <v>0.8105050372691357</v>
      </c>
      <c r="AA53" s="1">
        <v>159.34176543209875</v>
      </c>
      <c r="AB53" s="1">
        <v>1.3153640478579105</v>
      </c>
      <c r="AC53" s="1">
        <v>73.872413594470046</v>
      </c>
    </row>
    <row r="54" spans="1:29" x14ac:dyDescent="0.2">
      <c r="A54" s="1" t="s">
        <v>211</v>
      </c>
      <c r="B54" s="1" t="str">
        <f t="shared" ca="1" si="0"/>
        <v>Open</v>
      </c>
      <c r="C54" s="1" t="s">
        <v>2770</v>
      </c>
      <c r="D54" s="1" t="s">
        <v>212</v>
      </c>
      <c r="E54" s="1" t="s">
        <v>213</v>
      </c>
      <c r="F54" s="1" t="s">
        <v>48</v>
      </c>
      <c r="G54" s="1" t="s">
        <v>214</v>
      </c>
      <c r="H54" s="24">
        <v>43753</v>
      </c>
      <c r="I54" s="1"/>
      <c r="J54" s="1">
        <v>47.917375</v>
      </c>
      <c r="K54" s="1">
        <v>106.95834600000001</v>
      </c>
      <c r="L54" s="20">
        <v>0</v>
      </c>
      <c r="M54" s="20">
        <v>0.99930555555555556</v>
      </c>
      <c r="N54" s="1">
        <v>1.2068862622946248</v>
      </c>
      <c r="O54" s="1">
        <v>215.64677580246916</v>
      </c>
      <c r="P54" s="1">
        <v>1.9005493905602153</v>
      </c>
      <c r="Q54" s="1">
        <v>65.067010752688162</v>
      </c>
      <c r="R54" s="1">
        <v>1.1982955061538461</v>
      </c>
      <c r="S54" s="1">
        <v>188.00444966761631</v>
      </c>
      <c r="T54" s="1">
        <v>1.6326521687684588</v>
      </c>
      <c r="U54" s="1">
        <v>62.995972401433697</v>
      </c>
      <c r="V54" s="1">
        <v>1.3047125184092874</v>
      </c>
      <c r="W54" s="1">
        <v>207.59476457739797</v>
      </c>
      <c r="X54" s="1">
        <v>1.5676115499641581</v>
      </c>
      <c r="Y54" s="1">
        <v>59.987014336917561</v>
      </c>
      <c r="Z54" s="1">
        <v>1.0702165932362513</v>
      </c>
      <c r="AA54" s="1">
        <v>216.60318967452295</v>
      </c>
      <c r="AB54" s="1">
        <v>1.2517645181756274</v>
      </c>
      <c r="AC54" s="1">
        <v>54.666891676622868</v>
      </c>
    </row>
    <row r="55" spans="1:29" x14ac:dyDescent="0.2">
      <c r="A55" s="1" t="s">
        <v>215</v>
      </c>
      <c r="B55" s="1" t="str">
        <f t="shared" ca="1" si="0"/>
        <v>Open</v>
      </c>
      <c r="C55" s="1" t="s">
        <v>2770</v>
      </c>
      <c r="D55" s="1" t="s">
        <v>216</v>
      </c>
      <c r="E55" s="1" t="s">
        <v>217</v>
      </c>
      <c r="F55" s="1" t="s">
        <v>64</v>
      </c>
      <c r="G55" s="1" t="s">
        <v>218</v>
      </c>
      <c r="H55" s="24">
        <v>43769</v>
      </c>
      <c r="I55" s="1"/>
      <c r="J55" s="1">
        <v>47.881594999999997</v>
      </c>
      <c r="K55" s="1">
        <v>106.910606</v>
      </c>
      <c r="L55" s="20">
        <v>0</v>
      </c>
      <c r="M55" s="20">
        <v>0.99930555555555556</v>
      </c>
      <c r="N55" s="1">
        <v>1.4568607495422414</v>
      </c>
      <c r="O55" s="1">
        <v>254.86607982905991</v>
      </c>
      <c r="P55" s="1">
        <v>1.9624070929258071</v>
      </c>
      <c r="Q55" s="1">
        <v>103.38729964157706</v>
      </c>
      <c r="R55" s="1">
        <v>1.5157289710859452</v>
      </c>
      <c r="S55" s="1">
        <v>232.67490313390317</v>
      </c>
      <c r="T55" s="1">
        <v>1.4602463423774195</v>
      </c>
      <c r="U55" s="1">
        <v>87.985563440860219</v>
      </c>
      <c r="V55" s="1">
        <v>1.7372039443154252</v>
      </c>
      <c r="W55" s="1">
        <v>287.1960073260073</v>
      </c>
      <c r="X55" s="1">
        <v>1.5646871937768356</v>
      </c>
      <c r="Y55" s="1">
        <v>90.577356129032253</v>
      </c>
      <c r="Z55" s="1">
        <v>0.9127792313782267</v>
      </c>
      <c r="AA55" s="1">
        <v>170.10284118967454</v>
      </c>
      <c r="AB55" s="1">
        <v>1.0027739606949424</v>
      </c>
      <c r="AC55" s="1">
        <v>56.557747510951799</v>
      </c>
    </row>
    <row r="56" spans="1:29" x14ac:dyDescent="0.2">
      <c r="A56" s="1" t="s">
        <v>219</v>
      </c>
      <c r="B56" s="1" t="str">
        <f t="shared" ca="1" si="0"/>
        <v>Open</v>
      </c>
      <c r="C56" s="1" t="s">
        <v>2770</v>
      </c>
      <c r="D56" s="1" t="s">
        <v>220</v>
      </c>
      <c r="E56" s="1" t="s">
        <v>221</v>
      </c>
      <c r="F56" s="1" t="s">
        <v>28</v>
      </c>
      <c r="G56" s="1" t="s">
        <v>222</v>
      </c>
      <c r="H56" s="24">
        <v>43769</v>
      </c>
      <c r="I56" s="1"/>
      <c r="J56" s="1">
        <v>47.918579999999999</v>
      </c>
      <c r="K56" s="1">
        <v>106.888688</v>
      </c>
      <c r="L56" s="20">
        <v>0</v>
      </c>
      <c r="M56" s="20">
        <v>0.99930555555555556</v>
      </c>
      <c r="N56" s="1">
        <v>0.68921904277054136</v>
      </c>
      <c r="O56" s="1">
        <v>132.64463726495725</v>
      </c>
      <c r="P56" s="1">
        <v>0.56202026534399951</v>
      </c>
      <c r="Q56" s="1">
        <v>33.936289247311834</v>
      </c>
      <c r="R56" s="1">
        <v>0.69365280325403622</v>
      </c>
      <c r="S56" s="1">
        <v>112.47200332383666</v>
      </c>
      <c r="T56" s="1">
        <v>0.60118310112329743</v>
      </c>
      <c r="U56" s="1">
        <v>43.58820107526882</v>
      </c>
      <c r="V56" s="1">
        <v>0.65562027090638175</v>
      </c>
      <c r="W56" s="1">
        <v>93.526571339031349</v>
      </c>
      <c r="X56" s="1">
        <v>0.66945231505734759</v>
      </c>
      <c r="Y56" s="1">
        <v>34.618061290322579</v>
      </c>
      <c r="Z56" s="1">
        <v>0.56191372533179018</v>
      </c>
      <c r="AA56" s="1">
        <v>121.32020679012344</v>
      </c>
      <c r="AB56" s="1">
        <v>0.44356890591390169</v>
      </c>
      <c r="AC56" s="1">
        <v>33.701320788530474</v>
      </c>
    </row>
    <row r="57" spans="1:29" x14ac:dyDescent="0.2">
      <c r="A57" s="1" t="s">
        <v>223</v>
      </c>
      <c r="B57" s="1" t="str">
        <f t="shared" ca="1" si="0"/>
        <v>Open</v>
      </c>
      <c r="C57" s="1" t="s">
        <v>2770</v>
      </c>
      <c r="D57" s="1" t="s">
        <v>224</v>
      </c>
      <c r="E57" s="1" t="s">
        <v>225</v>
      </c>
      <c r="F57" s="1" t="s">
        <v>48</v>
      </c>
      <c r="G57" s="1" t="s">
        <v>226</v>
      </c>
      <c r="H57" s="24">
        <v>43788</v>
      </c>
      <c r="I57" s="1"/>
      <c r="J57" s="1">
        <v>47.912830999999997</v>
      </c>
      <c r="K57" s="1">
        <v>106.939155</v>
      </c>
      <c r="L57" s="20">
        <v>0</v>
      </c>
      <c r="M57" s="20">
        <v>0.99930555555555556</v>
      </c>
      <c r="N57" s="1">
        <v>0.87025993671887936</v>
      </c>
      <c r="O57" s="1">
        <v>180.50790336182334</v>
      </c>
      <c r="P57" s="1">
        <v>1.3463628194713266</v>
      </c>
      <c r="Q57" s="1">
        <v>63.012540143369165</v>
      </c>
      <c r="R57" s="1">
        <v>0.85102012140408345</v>
      </c>
      <c r="S57" s="1">
        <v>145.48937701804365</v>
      </c>
      <c r="T57" s="1">
        <v>1.0540753311817206</v>
      </c>
      <c r="U57" s="1">
        <v>58.757791397849466</v>
      </c>
      <c r="V57" s="1">
        <v>0.94523482294645766</v>
      </c>
      <c r="W57" s="1">
        <v>173.53585973409307</v>
      </c>
      <c r="X57" s="1">
        <v>1.1424451131422935</v>
      </c>
      <c r="Y57" s="1">
        <v>51.856113261648751</v>
      </c>
      <c r="Z57" s="1">
        <v>0.68805062464251232</v>
      </c>
      <c r="AA57" s="1">
        <v>166.40031078904994</v>
      </c>
      <c r="AB57" s="1">
        <v>0.8073929149604453</v>
      </c>
      <c r="AC57" s="1">
        <v>46.691465437788004</v>
      </c>
    </row>
    <row r="58" spans="1:29" x14ac:dyDescent="0.2">
      <c r="A58" s="1" t="s">
        <v>227</v>
      </c>
      <c r="B58" s="1" t="str">
        <f t="shared" ca="1" si="0"/>
        <v>Open</v>
      </c>
      <c r="C58" s="1" t="s">
        <v>2770</v>
      </c>
      <c r="D58" s="1" t="s">
        <v>2606</v>
      </c>
      <c r="E58" s="1" t="s">
        <v>2627</v>
      </c>
      <c r="F58" s="1" t="s">
        <v>33</v>
      </c>
      <c r="G58" s="1" t="s">
        <v>228</v>
      </c>
      <c r="H58" s="24">
        <v>43829</v>
      </c>
      <c r="I58" s="1"/>
      <c r="J58" s="1">
        <v>47.918070999999998</v>
      </c>
      <c r="K58" s="1">
        <v>106.912935</v>
      </c>
      <c r="L58" s="20">
        <v>0</v>
      </c>
      <c r="M58" s="20">
        <v>0.99930555555555556</v>
      </c>
      <c r="N58" s="1">
        <v>0.71660928634573595</v>
      </c>
      <c r="O58" s="1">
        <v>130.9340732763533</v>
      </c>
      <c r="P58" s="1">
        <v>0.71671974900716851</v>
      </c>
      <c r="Q58" s="1">
        <v>42.114727598566304</v>
      </c>
      <c r="R58" s="1">
        <v>0.63916333843067419</v>
      </c>
      <c r="S58" s="1">
        <v>106.05178300094967</v>
      </c>
      <c r="T58" s="1">
        <v>0.65170812624408614</v>
      </c>
      <c r="U58" s="1">
        <v>43.153588172043008</v>
      </c>
      <c r="V58" s="1">
        <v>0.76332753867264946</v>
      </c>
      <c r="W58" s="1">
        <v>130.56220509021844</v>
      </c>
      <c r="X58" s="1">
        <v>0.52458527666774202</v>
      </c>
      <c r="Y58" s="1">
        <v>40.6498688172043</v>
      </c>
      <c r="Z58" s="1">
        <v>0.58982538895622894</v>
      </c>
      <c r="AA58" s="1">
        <v>128.00313075196411</v>
      </c>
      <c r="AB58" s="1">
        <v>0.61388812335802456</v>
      </c>
      <c r="AC58" s="1">
        <v>33.152393866985257</v>
      </c>
    </row>
    <row r="59" spans="1:29" x14ac:dyDescent="0.2">
      <c r="A59" s="1" t="s">
        <v>229</v>
      </c>
      <c r="B59" s="1" t="str">
        <f t="shared" ca="1" si="0"/>
        <v>Open</v>
      </c>
      <c r="C59" s="1" t="s">
        <v>2770</v>
      </c>
      <c r="D59" s="1" t="s">
        <v>230</v>
      </c>
      <c r="E59" s="1" t="s">
        <v>231</v>
      </c>
      <c r="F59" s="1" t="s">
        <v>28</v>
      </c>
      <c r="G59" s="1" t="s">
        <v>232</v>
      </c>
      <c r="H59" s="24">
        <v>43842</v>
      </c>
      <c r="I59" s="1"/>
      <c r="J59" s="1">
        <v>47.920560000000002</v>
      </c>
      <c r="K59" s="1">
        <v>106.856236</v>
      </c>
      <c r="L59" s="20">
        <v>0</v>
      </c>
      <c r="M59" s="20">
        <v>0.99930555555555556</v>
      </c>
      <c r="N59" s="1">
        <v>0.92746404725105391</v>
      </c>
      <c r="O59" s="1">
        <v>137.27788630579298</v>
      </c>
      <c r="P59" s="1">
        <v>0.86791291609139776</v>
      </c>
      <c r="Q59" s="1">
        <v>51.685471684587803</v>
      </c>
      <c r="R59" s="1">
        <v>0.98068157180911675</v>
      </c>
      <c r="S59" s="1">
        <v>130.30391120607783</v>
      </c>
      <c r="T59" s="1">
        <v>0.75095956306859468</v>
      </c>
      <c r="U59" s="1">
        <v>51.480602892102333</v>
      </c>
      <c r="V59" s="1">
        <v>1.4670415859078443</v>
      </c>
      <c r="W59" s="1">
        <v>217.02282148148151</v>
      </c>
      <c r="X59" s="1">
        <v>1.1367911869810037</v>
      </c>
      <c r="Y59" s="1">
        <v>64.142862724014336</v>
      </c>
      <c r="Z59" s="1">
        <v>0.75376180601728393</v>
      </c>
      <c r="AA59" s="1">
        <v>131.2623875837742</v>
      </c>
      <c r="AB59" s="1">
        <v>0.59780980634036485</v>
      </c>
      <c r="AC59" s="1">
        <v>40.221619444885853</v>
      </c>
    </row>
    <row r="60" spans="1:29" x14ac:dyDescent="0.2">
      <c r="A60" s="1" t="s">
        <v>233</v>
      </c>
      <c r="B60" s="1" t="str">
        <f t="shared" ca="1" si="0"/>
        <v>Open</v>
      </c>
      <c r="C60" s="1" t="s">
        <v>2770</v>
      </c>
      <c r="D60" s="1" t="s">
        <v>234</v>
      </c>
      <c r="E60" s="1" t="s">
        <v>235</v>
      </c>
      <c r="F60" s="1" t="s">
        <v>64</v>
      </c>
      <c r="G60" s="1" t="s">
        <v>236</v>
      </c>
      <c r="H60" s="24">
        <v>43858</v>
      </c>
      <c r="I60" s="1"/>
      <c r="J60" s="1">
        <v>47.898597000000002</v>
      </c>
      <c r="K60" s="1">
        <v>106.905387</v>
      </c>
      <c r="L60" s="20">
        <v>0.29166666666666669</v>
      </c>
      <c r="M60" s="20">
        <v>0.99930555555555556</v>
      </c>
      <c r="N60" s="1">
        <v>0.3184447204520513</v>
      </c>
      <c r="O60" s="1">
        <v>49.076144572649575</v>
      </c>
      <c r="P60" s="1">
        <v>0.20991811769605731</v>
      </c>
      <c r="Q60" s="1">
        <v>22.473939068100353</v>
      </c>
      <c r="R60" s="1">
        <v>0.30612383306030394</v>
      </c>
      <c r="S60" s="1">
        <v>46.210845204178533</v>
      </c>
      <c r="T60" s="1">
        <v>0.21899855366738352</v>
      </c>
      <c r="U60" s="1">
        <v>21.151566666666671</v>
      </c>
      <c r="V60" s="1">
        <v>0.36596282368888894</v>
      </c>
      <c r="W60" s="1">
        <v>54.156468571428576</v>
      </c>
      <c r="X60" s="1">
        <v>0.27745179110437279</v>
      </c>
      <c r="Y60" s="1">
        <v>27.034256702508959</v>
      </c>
      <c r="Z60" s="1">
        <v>0.22675276968675995</v>
      </c>
      <c r="AA60" s="1">
        <v>36.97641104895105</v>
      </c>
      <c r="AB60" s="1">
        <v>0.13692058318663591</v>
      </c>
      <c r="AC60" s="1">
        <v>17.286343701996923</v>
      </c>
    </row>
    <row r="61" spans="1:29" x14ac:dyDescent="0.2">
      <c r="A61" s="1" t="s">
        <v>237</v>
      </c>
      <c r="B61" s="1" t="str">
        <f t="shared" ca="1" si="0"/>
        <v>Open</v>
      </c>
      <c r="C61" s="1" t="s">
        <v>2770</v>
      </c>
      <c r="D61" s="1" t="s">
        <v>238</v>
      </c>
      <c r="E61" s="1" t="s">
        <v>239</v>
      </c>
      <c r="F61" s="1" t="s">
        <v>11</v>
      </c>
      <c r="G61" s="1" t="s">
        <v>240</v>
      </c>
      <c r="H61" s="24">
        <v>43860</v>
      </c>
      <c r="I61" s="1"/>
      <c r="J61" s="1">
        <v>47.918322000000003</v>
      </c>
      <c r="K61" s="1">
        <v>106.925472</v>
      </c>
      <c r="L61" s="20">
        <v>0</v>
      </c>
      <c r="M61" s="20">
        <v>0.99930555555555556</v>
      </c>
      <c r="N61" s="1">
        <v>0.99589093764695136</v>
      </c>
      <c r="O61" s="1">
        <v>163.36183158594494</v>
      </c>
      <c r="P61" s="1">
        <v>0.87350212892974921</v>
      </c>
      <c r="Q61" s="1">
        <v>80.256479211469525</v>
      </c>
      <c r="R61" s="1">
        <v>1.0363477582136751</v>
      </c>
      <c r="S61" s="1">
        <v>156.02350569800569</v>
      </c>
      <c r="T61" s="1">
        <v>0.98068694202329743</v>
      </c>
      <c r="U61" s="1">
        <v>87.96960788530464</v>
      </c>
      <c r="V61" s="1">
        <v>0.98105516682452043</v>
      </c>
      <c r="W61" s="1">
        <v>159.54966123456794</v>
      </c>
      <c r="X61" s="1">
        <v>0.69561334377992834</v>
      </c>
      <c r="Y61" s="1">
        <v>57.637583512544801</v>
      </c>
      <c r="Z61" s="1">
        <v>0.64501116286282045</v>
      </c>
      <c r="AA61" s="1">
        <v>120.20990341880342</v>
      </c>
      <c r="AB61" s="1">
        <v>0.60747851520814145</v>
      </c>
      <c r="AC61" s="1">
        <v>58.514792703533033</v>
      </c>
    </row>
    <row r="62" spans="1:29" x14ac:dyDescent="0.2">
      <c r="A62" s="1" t="s">
        <v>241</v>
      </c>
      <c r="B62" s="1" t="str">
        <f t="shared" ca="1" si="0"/>
        <v>Open</v>
      </c>
      <c r="C62" s="1" t="s">
        <v>2770</v>
      </c>
      <c r="D62" s="1" t="s">
        <v>242</v>
      </c>
      <c r="E62" s="1" t="s">
        <v>243</v>
      </c>
      <c r="F62" s="1" t="s">
        <v>11</v>
      </c>
      <c r="G62" s="1" t="s">
        <v>2648</v>
      </c>
      <c r="H62" s="24">
        <v>43881</v>
      </c>
      <c r="I62" s="1"/>
      <c r="J62" s="1">
        <v>47.90916</v>
      </c>
      <c r="K62" s="1">
        <v>106.930543</v>
      </c>
      <c r="L62" s="20">
        <v>0</v>
      </c>
      <c r="M62" s="20">
        <v>0.99930555555555556</v>
      </c>
      <c r="N62" s="1">
        <v>0.51543450644539412</v>
      </c>
      <c r="O62" s="1">
        <v>85.282532231718903</v>
      </c>
      <c r="P62" s="1">
        <v>0.67723446283875932</v>
      </c>
      <c r="Q62" s="1">
        <v>45.321058225188473</v>
      </c>
      <c r="R62" s="1">
        <v>0.73653860684425465</v>
      </c>
      <c r="S62" s="1">
        <v>113.63875688509022</v>
      </c>
      <c r="T62" s="1">
        <v>1.5180408600655915</v>
      </c>
      <c r="U62" s="1">
        <v>52.163974910394266</v>
      </c>
      <c r="V62" s="1">
        <v>0.64168028224000007</v>
      </c>
      <c r="W62" s="1">
        <v>97.25142666666666</v>
      </c>
      <c r="X62" s="1">
        <v>0.84428921713118266</v>
      </c>
      <c r="Y62" s="1">
        <v>48.075850179211464</v>
      </c>
      <c r="Z62" s="1">
        <v>0.36153586129522269</v>
      </c>
      <c r="AA62" s="1">
        <v>68.263933440687055</v>
      </c>
      <c r="AB62" s="1">
        <v>0.49650809848118271</v>
      </c>
      <c r="AC62" s="1">
        <v>31.862253840245774</v>
      </c>
    </row>
    <row r="63" spans="1:29" x14ac:dyDescent="0.2">
      <c r="A63" s="1" t="s">
        <v>244</v>
      </c>
      <c r="B63" s="1" t="str">
        <f t="shared" ca="1" si="0"/>
        <v>Open</v>
      </c>
      <c r="C63" s="1" t="s">
        <v>2770</v>
      </c>
      <c r="D63" s="1" t="s">
        <v>245</v>
      </c>
      <c r="E63" s="1" t="s">
        <v>246</v>
      </c>
      <c r="F63" s="1" t="s">
        <v>64</v>
      </c>
      <c r="G63" s="1" t="s">
        <v>247</v>
      </c>
      <c r="H63" s="24">
        <v>43900</v>
      </c>
      <c r="I63" s="1"/>
      <c r="J63" s="1">
        <v>47.906022999999998</v>
      </c>
      <c r="K63" s="1">
        <v>106.911688</v>
      </c>
      <c r="L63" s="20">
        <v>0</v>
      </c>
      <c r="M63" s="20">
        <v>0.99930555555555556</v>
      </c>
      <c r="N63" s="1">
        <v>0.36985918904792031</v>
      </c>
      <c r="O63" s="1">
        <v>53.833046001899334</v>
      </c>
      <c r="P63" s="1">
        <v>0.38967773507777786</v>
      </c>
      <c r="Q63" s="1">
        <v>21.137511111111113</v>
      </c>
      <c r="R63" s="1">
        <v>0.54900218560921177</v>
      </c>
      <c r="S63" s="1">
        <v>83.155903608736949</v>
      </c>
      <c r="T63" s="1">
        <v>0.75483834049426557</v>
      </c>
      <c r="U63" s="1">
        <v>31.950112903225815</v>
      </c>
      <c r="V63" s="1">
        <v>0.63840631752015176</v>
      </c>
      <c r="W63" s="1">
        <v>91.036073428300099</v>
      </c>
      <c r="X63" s="1">
        <v>0.79095159712150531</v>
      </c>
      <c r="Y63" s="1">
        <v>36.889663440860211</v>
      </c>
      <c r="Z63" s="1">
        <v>0.37865390637144397</v>
      </c>
      <c r="AA63" s="1">
        <v>52.370555018786916</v>
      </c>
      <c r="AB63" s="1">
        <v>0.34811772294969273</v>
      </c>
      <c r="AC63" s="1">
        <v>28.26287788018433</v>
      </c>
    </row>
    <row r="64" spans="1:29" x14ac:dyDescent="0.2">
      <c r="A64" s="1" t="s">
        <v>248</v>
      </c>
      <c r="B64" s="1" t="str">
        <f t="shared" ca="1" si="0"/>
        <v>Open</v>
      </c>
      <c r="C64" s="1" t="s">
        <v>2770</v>
      </c>
      <c r="D64" s="1" t="s">
        <v>2607</v>
      </c>
      <c r="E64" s="1" t="s">
        <v>249</v>
      </c>
      <c r="F64" s="1" t="s">
        <v>48</v>
      </c>
      <c r="G64" s="1" t="s">
        <v>250</v>
      </c>
      <c r="H64" s="24">
        <v>43900</v>
      </c>
      <c r="I64" s="1"/>
      <c r="J64" s="1">
        <v>47.904091999999999</v>
      </c>
      <c r="K64" s="1">
        <v>107.022155</v>
      </c>
      <c r="L64" s="20">
        <v>0</v>
      </c>
      <c r="M64" s="20">
        <v>0.99930555555555556</v>
      </c>
      <c r="N64" s="1">
        <v>0.55269454688681863</v>
      </c>
      <c r="O64" s="1">
        <v>79.793744026590687</v>
      </c>
      <c r="P64" s="1">
        <v>0.66081479696344114</v>
      </c>
      <c r="Q64" s="1">
        <v>36.696182795698931</v>
      </c>
      <c r="R64" s="1">
        <v>0.63770633406600197</v>
      </c>
      <c r="S64" s="1">
        <v>72.315752611585935</v>
      </c>
      <c r="T64" s="1">
        <v>0.60055894067956983</v>
      </c>
      <c r="U64" s="1">
        <v>40.183060215053764</v>
      </c>
      <c r="V64" s="1">
        <v>0.81936065802860403</v>
      </c>
      <c r="W64" s="1">
        <v>92.485235973409303</v>
      </c>
      <c r="X64" s="1">
        <v>0.78358336957311847</v>
      </c>
      <c r="Y64" s="1">
        <v>45.691394265232979</v>
      </c>
      <c r="Z64" s="1">
        <v>0.51589944620611916</v>
      </c>
      <c r="AA64" s="1">
        <v>72.819891572732146</v>
      </c>
      <c r="AB64" s="1">
        <v>0.51127710873476706</v>
      </c>
      <c r="AC64" s="1">
        <v>28.79888620071684</v>
      </c>
    </row>
    <row r="65" spans="1:29" x14ac:dyDescent="0.2">
      <c r="A65" s="1" t="s">
        <v>251</v>
      </c>
      <c r="B65" s="1" t="str">
        <f t="shared" ca="1" si="0"/>
        <v>Open</v>
      </c>
      <c r="C65" s="1" t="s">
        <v>2770</v>
      </c>
      <c r="D65" s="1" t="s">
        <v>252</v>
      </c>
      <c r="E65" s="1" t="s">
        <v>253</v>
      </c>
      <c r="F65" s="1" t="s">
        <v>48</v>
      </c>
      <c r="G65" s="1" t="s">
        <v>254</v>
      </c>
      <c r="H65" s="24">
        <v>43909</v>
      </c>
      <c r="I65" s="1"/>
      <c r="J65" s="1">
        <v>47.887130999999997</v>
      </c>
      <c r="K65" s="1">
        <v>107.072091</v>
      </c>
      <c r="L65" s="20">
        <v>0</v>
      </c>
      <c r="M65" s="20">
        <v>0.99930555555555556</v>
      </c>
      <c r="N65" s="1">
        <v>0.71983414299595461</v>
      </c>
      <c r="O65" s="1">
        <v>95.571890389363716</v>
      </c>
      <c r="P65" s="1">
        <v>0.85690638972867361</v>
      </c>
      <c r="Q65" s="1">
        <v>43.464570609318997</v>
      </c>
      <c r="R65" s="1">
        <v>0.76195879275593548</v>
      </c>
      <c r="S65" s="1">
        <v>88.833842830009488</v>
      </c>
      <c r="T65" s="1">
        <v>0.80587624603870978</v>
      </c>
      <c r="U65" s="1">
        <v>39.891420071684585</v>
      </c>
      <c r="V65" s="1">
        <v>1.0555162393354416</v>
      </c>
      <c r="W65" s="1">
        <v>115.51301962013294</v>
      </c>
      <c r="X65" s="1">
        <v>1.0190300957347669</v>
      </c>
      <c r="Y65" s="1">
        <v>50.004312544802872</v>
      </c>
      <c r="Z65" s="1">
        <v>0.55057364322651658</v>
      </c>
      <c r="AA65" s="1">
        <v>80.689304884594733</v>
      </c>
      <c r="AB65" s="1">
        <v>0.75173530645929354</v>
      </c>
      <c r="AC65" s="1">
        <v>34.752670122887864</v>
      </c>
    </row>
    <row r="66" spans="1:29" x14ac:dyDescent="0.2">
      <c r="A66" s="1" t="s">
        <v>255</v>
      </c>
      <c r="B66" s="1" t="str">
        <f t="shared" ca="1" si="0"/>
        <v>Open</v>
      </c>
      <c r="C66" s="1" t="s">
        <v>2770</v>
      </c>
      <c r="D66" s="1" t="s">
        <v>256</v>
      </c>
      <c r="E66" s="1" t="s">
        <v>257</v>
      </c>
      <c r="F66" s="1" t="s">
        <v>48</v>
      </c>
      <c r="G66" s="1" t="s">
        <v>258</v>
      </c>
      <c r="H66" s="24">
        <v>43911</v>
      </c>
      <c r="I66" s="1"/>
      <c r="J66" s="1">
        <v>47.919713000000002</v>
      </c>
      <c r="K66" s="1">
        <v>106.945834</v>
      </c>
      <c r="L66" s="20">
        <v>0</v>
      </c>
      <c r="M66" s="20">
        <v>0.99930555555555556</v>
      </c>
      <c r="N66" s="1">
        <v>0.88858551674461539</v>
      </c>
      <c r="O66" s="1">
        <v>147.03431025641024</v>
      </c>
      <c r="P66" s="1">
        <v>1.6553788181426521</v>
      </c>
      <c r="Q66" s="1">
        <v>73.360998207885302</v>
      </c>
      <c r="R66" s="1">
        <v>0.84238553299620123</v>
      </c>
      <c r="S66" s="1">
        <v>116.39921699905032</v>
      </c>
      <c r="T66" s="1">
        <v>1.844041721978136</v>
      </c>
      <c r="U66" s="1">
        <v>70.189289247311848</v>
      </c>
      <c r="V66" s="1">
        <v>0.9175978390788414</v>
      </c>
      <c r="W66" s="1">
        <v>124.0988601139601</v>
      </c>
      <c r="X66" s="1">
        <v>1.8845284015046602</v>
      </c>
      <c r="Y66" s="1">
        <v>73.096297491039437</v>
      </c>
      <c r="Z66" s="1">
        <v>0.74662658828878159</v>
      </c>
      <c r="AA66" s="1">
        <v>133.76465593129362</v>
      </c>
      <c r="AB66" s="1">
        <v>1.3743303863141321</v>
      </c>
      <c r="AC66" s="1">
        <v>63.704249615975435</v>
      </c>
    </row>
    <row r="67" spans="1:29" x14ac:dyDescent="0.2">
      <c r="A67" s="1" t="s">
        <v>259</v>
      </c>
      <c r="B67" s="1" t="str">
        <f t="shared" ca="1" si="0"/>
        <v>Open</v>
      </c>
      <c r="C67" s="1" t="s">
        <v>2770</v>
      </c>
      <c r="D67" s="1" t="s">
        <v>2608</v>
      </c>
      <c r="E67" s="1" t="s">
        <v>2628</v>
      </c>
      <c r="F67" s="1" t="s">
        <v>48</v>
      </c>
      <c r="G67" s="1" t="s">
        <v>260</v>
      </c>
      <c r="H67" s="24">
        <v>43911</v>
      </c>
      <c r="I67" s="1"/>
      <c r="J67" s="1">
        <v>47.903334000000001</v>
      </c>
      <c r="K67" s="1">
        <v>106.934719</v>
      </c>
      <c r="L67" s="20">
        <v>0</v>
      </c>
      <c r="M67" s="20">
        <v>0.99930555555555556</v>
      </c>
      <c r="N67" s="1">
        <v>0.68397903155604933</v>
      </c>
      <c r="O67" s="1">
        <v>136.17235209876546</v>
      </c>
      <c r="P67" s="1">
        <v>1.6846954273555559</v>
      </c>
      <c r="Q67" s="1">
        <v>48.203455555555564</v>
      </c>
      <c r="R67" s="1">
        <v>0.85116203651566968</v>
      </c>
      <c r="S67" s="1">
        <v>141.54583760683764</v>
      </c>
      <c r="T67" s="1">
        <v>2.0374376375218639</v>
      </c>
      <c r="U67" s="1">
        <v>48.353322222222211</v>
      </c>
      <c r="V67" s="1">
        <v>0.95506740749857555</v>
      </c>
      <c r="W67" s="1">
        <v>165.68370429249765</v>
      </c>
      <c r="X67" s="1">
        <v>1.7993605464333335</v>
      </c>
      <c r="Y67" s="1">
        <v>51.810948028673842</v>
      </c>
      <c r="Z67" s="1">
        <v>0.68020006506509534</v>
      </c>
      <c r="AA67" s="1">
        <v>144.01895454545456</v>
      </c>
      <c r="AB67" s="1">
        <v>1.3566109554919359</v>
      </c>
      <c r="AC67" s="1">
        <v>39.083521607782892</v>
      </c>
    </row>
    <row r="68" spans="1:29" x14ac:dyDescent="0.2">
      <c r="A68" s="1" t="s">
        <v>261</v>
      </c>
      <c r="B68" s="1" t="str">
        <f t="shared" ref="B68:B131" ca="1" si="1">IF(AND(NOT(ISBLANK(I68)), I68 &lt;= TODAY()), "Closed", IF(H68 &gt; TODAY(), "Will open in future", "Open"))</f>
        <v>Open</v>
      </c>
      <c r="C68" s="1" t="s">
        <v>2770</v>
      </c>
      <c r="D68" s="1" t="s">
        <v>262</v>
      </c>
      <c r="E68" s="1" t="s">
        <v>263</v>
      </c>
      <c r="F68" s="1" t="s">
        <v>28</v>
      </c>
      <c r="G68" s="1" t="s">
        <v>264</v>
      </c>
      <c r="H68" s="24">
        <v>43921</v>
      </c>
      <c r="I68" s="1"/>
      <c r="J68" s="1">
        <v>47.912083000000003</v>
      </c>
      <c r="K68" s="1">
        <v>106.868397</v>
      </c>
      <c r="L68" s="20">
        <v>0</v>
      </c>
      <c r="M68" s="20">
        <v>0.99930555555555556</v>
      </c>
      <c r="N68" s="1">
        <v>0.6582392378052041</v>
      </c>
      <c r="O68" s="1">
        <v>110.6247860968661</v>
      </c>
      <c r="P68" s="1">
        <v>1.6638566676580642</v>
      </c>
      <c r="Q68" s="1">
        <v>55.75672652329748</v>
      </c>
      <c r="R68" s="1">
        <v>0.61229005502659073</v>
      </c>
      <c r="S68" s="1">
        <v>97.751756410256419</v>
      </c>
      <c r="T68" s="1">
        <v>1.1303851940070448</v>
      </c>
      <c r="U68" s="1">
        <v>49.542725250278089</v>
      </c>
      <c r="V68" s="1">
        <v>0.81821900452682816</v>
      </c>
      <c r="W68" s="1">
        <v>119.28524465811965</v>
      </c>
      <c r="X68" s="1">
        <v>1.6994167555512545</v>
      </c>
      <c r="Y68" s="1">
        <v>62.136066666666665</v>
      </c>
      <c r="Z68" s="1">
        <v>0.52618765407514767</v>
      </c>
      <c r="AA68" s="1">
        <v>99.67275469672569</v>
      </c>
      <c r="AB68" s="1">
        <v>0.98471629876612932</v>
      </c>
      <c r="AC68" s="1">
        <v>39.466990399385566</v>
      </c>
    </row>
    <row r="69" spans="1:29" x14ac:dyDescent="0.2">
      <c r="A69" s="1" t="s">
        <v>265</v>
      </c>
      <c r="B69" s="1" t="str">
        <f t="shared" ca="1" si="1"/>
        <v>Open</v>
      </c>
      <c r="C69" s="1" t="s">
        <v>2770</v>
      </c>
      <c r="D69" s="1" t="s">
        <v>266</v>
      </c>
      <c r="E69" s="1" t="s">
        <v>267</v>
      </c>
      <c r="F69" s="1" t="s">
        <v>64</v>
      </c>
      <c r="G69" s="1" t="s">
        <v>268</v>
      </c>
      <c r="H69" s="24">
        <v>43924</v>
      </c>
      <c r="I69" s="1"/>
      <c r="J69" s="1">
        <v>47.891537</v>
      </c>
      <c r="K69" s="1">
        <v>106.899782</v>
      </c>
      <c r="L69" s="20">
        <v>0.29166666666666669</v>
      </c>
      <c r="M69" s="20">
        <v>0.99930555555555556</v>
      </c>
      <c r="N69" s="1">
        <v>0.42232893990294396</v>
      </c>
      <c r="O69" s="1">
        <v>67.915656771130116</v>
      </c>
      <c r="P69" s="1">
        <v>1.2859839102881718</v>
      </c>
      <c r="Q69" s="1">
        <v>42.340076344086036</v>
      </c>
      <c r="R69" s="1">
        <v>0.51574072383998093</v>
      </c>
      <c r="S69" s="1">
        <v>70.323330484330498</v>
      </c>
      <c r="T69" s="1">
        <v>1.2872532717150538</v>
      </c>
      <c r="U69" s="1">
        <v>44.870799283154135</v>
      </c>
      <c r="V69" s="1">
        <v>0.47011946402317184</v>
      </c>
      <c r="W69" s="1">
        <v>78.574416125356137</v>
      </c>
      <c r="X69" s="1">
        <v>1.2999739047677421</v>
      </c>
      <c r="Y69" s="1">
        <v>34.31832186379927</v>
      </c>
      <c r="Z69" s="1">
        <v>0.36474037306924317</v>
      </c>
      <c r="AA69" s="1">
        <v>73.519761137949544</v>
      </c>
      <c r="AB69" s="1">
        <v>1.3353026049877119</v>
      </c>
      <c r="AC69" s="1">
        <v>38.208864823348705</v>
      </c>
    </row>
    <row r="70" spans="1:29" x14ac:dyDescent="0.2">
      <c r="A70" s="1" t="s">
        <v>269</v>
      </c>
      <c r="B70" s="1" t="str">
        <f t="shared" ca="1" si="1"/>
        <v>Open</v>
      </c>
      <c r="C70" s="1" t="s">
        <v>2770</v>
      </c>
      <c r="D70" s="1" t="s">
        <v>270</v>
      </c>
      <c r="E70" s="1" t="s">
        <v>271</v>
      </c>
      <c r="F70" s="1" t="s">
        <v>48</v>
      </c>
      <c r="G70" s="1" t="s">
        <v>272</v>
      </c>
      <c r="H70" s="24">
        <v>43943</v>
      </c>
      <c r="I70" s="1"/>
      <c r="J70" s="1">
        <v>47.913696999999999</v>
      </c>
      <c r="K70" s="1">
        <v>106.94282800000001</v>
      </c>
      <c r="L70" s="20">
        <v>0.29166666666666669</v>
      </c>
      <c r="M70" s="20">
        <v>0.91666666666666663</v>
      </c>
      <c r="N70" s="1">
        <v>0.63688694432854709</v>
      </c>
      <c r="O70" s="1">
        <v>115.75691213675215</v>
      </c>
      <c r="P70" s="1">
        <v>0.38972685530537632</v>
      </c>
      <c r="Q70" s="1">
        <v>39.099395340501793</v>
      </c>
      <c r="R70" s="1">
        <v>0.8889656878765434</v>
      </c>
      <c r="S70" s="1">
        <v>141.24610636277302</v>
      </c>
      <c r="T70" s="1">
        <v>0.54194190117992813</v>
      </c>
      <c r="U70" s="1">
        <v>55.38525483870967</v>
      </c>
      <c r="V70" s="1">
        <v>0.66897390934567891</v>
      </c>
      <c r="W70" s="1">
        <v>103.25799432098766</v>
      </c>
      <c r="X70" s="1">
        <v>0.39871504692424248</v>
      </c>
      <c r="Y70" s="1">
        <v>35.814682828282834</v>
      </c>
      <c r="Z70" s="1">
        <v>0.70318146003086401</v>
      </c>
      <c r="AA70" s="1">
        <v>145.62367901234566</v>
      </c>
      <c r="AB70" s="1">
        <v>0.43224646502822567</v>
      </c>
      <c r="AC70" s="1">
        <v>44.634039426523294</v>
      </c>
    </row>
    <row r="71" spans="1:29" x14ac:dyDescent="0.2">
      <c r="A71" s="1" t="s">
        <v>273</v>
      </c>
      <c r="B71" s="1" t="str">
        <f t="shared" ca="1" si="1"/>
        <v>Open</v>
      </c>
      <c r="C71" s="1" t="s">
        <v>2770</v>
      </c>
      <c r="D71" s="1" t="s">
        <v>274</v>
      </c>
      <c r="E71" s="1" t="s">
        <v>275</v>
      </c>
      <c r="F71" s="1" t="s">
        <v>48</v>
      </c>
      <c r="G71" s="1" t="s">
        <v>276</v>
      </c>
      <c r="H71" s="24">
        <v>43974</v>
      </c>
      <c r="I71" s="1"/>
      <c r="J71" s="1">
        <v>47.909548000000001</v>
      </c>
      <c r="K71" s="1">
        <v>106.942269</v>
      </c>
      <c r="L71" s="20">
        <v>0.29166666666666669</v>
      </c>
      <c r="M71" s="20">
        <v>0.99930555555555556</v>
      </c>
      <c r="N71" s="1">
        <v>0.52075977203963919</v>
      </c>
      <c r="O71" s="1">
        <v>79.712208888888895</v>
      </c>
      <c r="P71" s="1">
        <v>1.4884772624559142</v>
      </c>
      <c r="Q71" s="1">
        <v>73.745317562724026</v>
      </c>
      <c r="R71" s="1">
        <v>0.52544876482383662</v>
      </c>
      <c r="S71" s="1">
        <v>68.787600664767339</v>
      </c>
      <c r="T71" s="1">
        <v>1.0947825305218641</v>
      </c>
      <c r="U71" s="1">
        <v>68.278417921146968</v>
      </c>
      <c r="V71" s="1">
        <v>0.5056093985524216</v>
      </c>
      <c r="W71" s="1">
        <v>72.485407597340938</v>
      </c>
      <c r="X71" s="1">
        <v>1.0704333585265233</v>
      </c>
      <c r="Y71" s="1">
        <v>52.997167025089617</v>
      </c>
      <c r="Z71" s="1">
        <v>0.40395510165432086</v>
      </c>
      <c r="AA71" s="1">
        <v>73.897962962962978</v>
      </c>
      <c r="AB71" s="1">
        <v>1.0484296625637481</v>
      </c>
      <c r="AC71" s="1">
        <v>50.770385560675891</v>
      </c>
    </row>
    <row r="72" spans="1:29" x14ac:dyDescent="0.2">
      <c r="A72" s="1" t="s">
        <v>277</v>
      </c>
      <c r="B72" s="1" t="str">
        <f t="shared" ca="1" si="1"/>
        <v>Open</v>
      </c>
      <c r="C72" s="1" t="s">
        <v>2770</v>
      </c>
      <c r="D72" s="1" t="s">
        <v>278</v>
      </c>
      <c r="E72" s="1" t="s">
        <v>279</v>
      </c>
      <c r="F72" s="1" t="s">
        <v>28</v>
      </c>
      <c r="G72" s="1" t="s">
        <v>280</v>
      </c>
      <c r="H72" s="24">
        <v>43976</v>
      </c>
      <c r="I72" s="1"/>
      <c r="J72" s="1">
        <v>47.903350000000003</v>
      </c>
      <c r="K72" s="1">
        <v>106.886363</v>
      </c>
      <c r="L72" s="20">
        <v>0.29166666666666669</v>
      </c>
      <c r="M72" s="20">
        <v>0.99930555555555556</v>
      </c>
      <c r="N72" s="1">
        <v>0.37965437510645778</v>
      </c>
      <c r="O72" s="1">
        <v>57.544167540360881</v>
      </c>
      <c r="P72" s="1">
        <v>1.0525125836888891</v>
      </c>
      <c r="Q72" s="1">
        <v>42.476790681003585</v>
      </c>
      <c r="R72" s="1">
        <v>0.36757008348385561</v>
      </c>
      <c r="S72" s="1">
        <v>46.11292022792022</v>
      </c>
      <c r="T72" s="1">
        <v>1.2713352658677419</v>
      </c>
      <c r="U72" s="1">
        <v>37.87238458781362</v>
      </c>
      <c r="V72" s="1">
        <v>0.46879381678921167</v>
      </c>
      <c r="W72" s="1">
        <v>66.443939487179492</v>
      </c>
      <c r="X72" s="1">
        <v>1.4227629800189965</v>
      </c>
      <c r="Y72" s="1">
        <v>41.421541935483866</v>
      </c>
      <c r="Z72" s="1">
        <v>0.32051547968867417</v>
      </c>
      <c r="AA72" s="1">
        <v>57.090387010198604</v>
      </c>
      <c r="AB72" s="1">
        <v>0.89449531272542215</v>
      </c>
      <c r="AC72" s="1">
        <v>37.070203917050691</v>
      </c>
    </row>
    <row r="73" spans="1:29" x14ac:dyDescent="0.2">
      <c r="A73" s="1" t="s">
        <v>281</v>
      </c>
      <c r="B73" s="1" t="str">
        <f t="shared" ca="1" si="1"/>
        <v>Open</v>
      </c>
      <c r="C73" s="1" t="s">
        <v>2770</v>
      </c>
      <c r="D73" s="1" t="s">
        <v>282</v>
      </c>
      <c r="E73" s="1" t="s">
        <v>283</v>
      </c>
      <c r="F73" s="1" t="s">
        <v>64</v>
      </c>
      <c r="G73" s="1" t="s">
        <v>284</v>
      </c>
      <c r="H73" s="24">
        <v>44011</v>
      </c>
      <c r="I73" s="1"/>
      <c r="J73" s="1">
        <v>47.848452999999999</v>
      </c>
      <c r="K73" s="1">
        <v>106.79224600000001</v>
      </c>
      <c r="L73" s="20">
        <v>0</v>
      </c>
      <c r="M73" s="20">
        <v>0.99930555555555556</v>
      </c>
      <c r="N73" s="1">
        <v>1.2579789228186897</v>
      </c>
      <c r="O73" s="1">
        <v>201.88934199430204</v>
      </c>
      <c r="P73" s="1">
        <v>3.719184086727958</v>
      </c>
      <c r="Q73" s="1">
        <v>76.912807168458798</v>
      </c>
      <c r="R73" s="1">
        <v>1.2663381443176638</v>
      </c>
      <c r="S73" s="1">
        <v>181.78613912630581</v>
      </c>
      <c r="T73" s="1">
        <v>2.8199951577000006</v>
      </c>
      <c r="U73" s="1">
        <v>70.916846953405013</v>
      </c>
      <c r="V73" s="1">
        <v>1.4277243506446158</v>
      </c>
      <c r="W73" s="1">
        <v>206.31871042735042</v>
      </c>
      <c r="X73" s="1">
        <v>2.6763094771935485</v>
      </c>
      <c r="Y73" s="1">
        <v>75.290954480286757</v>
      </c>
      <c r="Z73" s="1">
        <v>0.96266586124691356</v>
      </c>
      <c r="AA73" s="1">
        <v>175.87010896403652</v>
      </c>
      <c r="AB73" s="1">
        <v>2.3079534703448537</v>
      </c>
      <c r="AC73" s="1">
        <v>61.227665130568347</v>
      </c>
    </row>
    <row r="74" spans="1:29" x14ac:dyDescent="0.2">
      <c r="A74" s="1" t="s">
        <v>285</v>
      </c>
      <c r="B74" s="1" t="str">
        <f t="shared" ca="1" si="1"/>
        <v>Open</v>
      </c>
      <c r="C74" s="1" t="s">
        <v>2770</v>
      </c>
      <c r="D74" s="1" t="s">
        <v>286</v>
      </c>
      <c r="E74" s="1" t="s">
        <v>287</v>
      </c>
      <c r="F74" s="1" t="s">
        <v>11</v>
      </c>
      <c r="G74" s="1" t="s">
        <v>288</v>
      </c>
      <c r="H74" s="24">
        <v>44007</v>
      </c>
      <c r="I74" s="1"/>
      <c r="J74" s="1">
        <v>47.910032000000001</v>
      </c>
      <c r="K74" s="1">
        <v>106.914807</v>
      </c>
      <c r="L74" s="20">
        <v>0.29166666666666669</v>
      </c>
      <c r="M74" s="20">
        <v>0.91666666666666663</v>
      </c>
      <c r="N74" s="1">
        <v>0.73203592258173344</v>
      </c>
      <c r="O74" s="1">
        <v>120.3894397993311</v>
      </c>
      <c r="P74" s="1">
        <v>0.91894692996308225</v>
      </c>
      <c r="Q74" s="1">
        <v>83.870914336917579</v>
      </c>
      <c r="R74" s="1">
        <v>0.88715066437179502</v>
      </c>
      <c r="S74" s="1">
        <v>118.92982905982906</v>
      </c>
      <c r="T74" s="1">
        <v>1.0537697493060934</v>
      </c>
      <c r="U74" s="1">
        <v>85.56232293906811</v>
      </c>
      <c r="V74" s="1">
        <v>0.89755821478131048</v>
      </c>
      <c r="W74" s="1">
        <v>143.24191447293447</v>
      </c>
      <c r="X74" s="1">
        <v>1.2036805579422614</v>
      </c>
      <c r="Y74" s="1">
        <v>82.619008699902238</v>
      </c>
      <c r="Z74" s="1">
        <v>0.56638618739811086</v>
      </c>
      <c r="AA74" s="1">
        <v>97.322523616734145</v>
      </c>
      <c r="AB74" s="1">
        <v>0.7562914706527778</v>
      </c>
      <c r="AC74" s="1">
        <v>80.062089874551987</v>
      </c>
    </row>
    <row r="75" spans="1:29" x14ac:dyDescent="0.2">
      <c r="A75" s="1" t="s">
        <v>289</v>
      </c>
      <c r="B75" s="1" t="str">
        <f t="shared" ca="1" si="1"/>
        <v>Open</v>
      </c>
      <c r="C75" s="1" t="s">
        <v>2770</v>
      </c>
      <c r="D75" s="1" t="s">
        <v>290</v>
      </c>
      <c r="E75" s="1" t="s">
        <v>291</v>
      </c>
      <c r="F75" s="1" t="s">
        <v>48</v>
      </c>
      <c r="G75" s="1" t="s">
        <v>292</v>
      </c>
      <c r="H75" s="24">
        <v>43990</v>
      </c>
      <c r="I75" s="1"/>
      <c r="J75" s="1">
        <v>47.917741999999997</v>
      </c>
      <c r="K75" s="1">
        <v>106.975358</v>
      </c>
      <c r="L75" s="20">
        <v>0.29166666666666669</v>
      </c>
      <c r="M75" s="20">
        <v>0.99930555555555556</v>
      </c>
      <c r="N75" s="1">
        <v>0.43907447241084524</v>
      </c>
      <c r="O75" s="1">
        <v>57.395065792972453</v>
      </c>
      <c r="P75" s="1">
        <v>1.6004731804641577</v>
      </c>
      <c r="Q75" s="1">
        <v>42.355353405017922</v>
      </c>
      <c r="R75" s="1">
        <v>0.43903451941975313</v>
      </c>
      <c r="S75" s="1">
        <v>56.327120607787286</v>
      </c>
      <c r="T75" s="1">
        <v>2.0217398306802861</v>
      </c>
      <c r="U75" s="1">
        <v>47.136267383512546</v>
      </c>
      <c r="V75" s="1">
        <v>0.50663284155021848</v>
      </c>
      <c r="W75" s="1">
        <v>69.513944539411213</v>
      </c>
      <c r="X75" s="1">
        <v>1.7095821019207886</v>
      </c>
      <c r="Y75" s="1">
        <v>50.193568817204323</v>
      </c>
      <c r="Z75" s="1">
        <v>0.31827880905709871</v>
      </c>
      <c r="AA75" s="1">
        <v>61.161936728395055</v>
      </c>
      <c r="AB75" s="1">
        <v>1.0707235001920123</v>
      </c>
      <c r="AC75" s="1">
        <v>34.549448924731188</v>
      </c>
    </row>
    <row r="76" spans="1:29" x14ac:dyDescent="0.2">
      <c r="A76" s="1" t="s">
        <v>293</v>
      </c>
      <c r="B76" s="1" t="str">
        <f t="shared" ca="1" si="1"/>
        <v>Open</v>
      </c>
      <c r="C76" s="1" t="s">
        <v>2770</v>
      </c>
      <c r="D76" s="1" t="s">
        <v>294</v>
      </c>
      <c r="E76" s="1" t="s">
        <v>295</v>
      </c>
      <c r="F76" s="1" t="s">
        <v>28</v>
      </c>
      <c r="G76" s="1" t="s">
        <v>296</v>
      </c>
      <c r="H76" s="24">
        <v>43971</v>
      </c>
      <c r="I76" s="1"/>
      <c r="J76" s="1">
        <v>47.913832999999997</v>
      </c>
      <c r="K76" s="1">
        <v>106.857069</v>
      </c>
      <c r="L76" s="20">
        <v>0</v>
      </c>
      <c r="M76" s="20">
        <v>0.99930555555555556</v>
      </c>
      <c r="N76" s="1">
        <v>1.260516868989136</v>
      </c>
      <c r="O76" s="1">
        <v>211.70343259259263</v>
      </c>
      <c r="P76" s="1">
        <v>1.129684611911111</v>
      </c>
      <c r="Q76" s="1">
        <v>97.383398207885307</v>
      </c>
      <c r="R76" s="1">
        <v>1.359369866300095</v>
      </c>
      <c r="S76" s="1">
        <v>204.14879487179488</v>
      </c>
      <c r="T76" s="1">
        <v>1.2328160125516132</v>
      </c>
      <c r="U76" s="1">
        <v>101.56965734767023</v>
      </c>
      <c r="V76" s="1">
        <v>1.2487767887339982</v>
      </c>
      <c r="W76" s="1">
        <v>175.04015654320992</v>
      </c>
      <c r="X76" s="1">
        <v>1.1273302234738354</v>
      </c>
      <c r="Y76" s="1">
        <v>89.310256630824355</v>
      </c>
      <c r="Z76" s="1">
        <v>1.2871352122597959</v>
      </c>
      <c r="AA76" s="1">
        <v>202.14976543209877</v>
      </c>
      <c r="AB76" s="1">
        <v>1.1582771966190475</v>
      </c>
      <c r="AC76" s="1">
        <v>103.94518087557601</v>
      </c>
    </row>
    <row r="77" spans="1:29" x14ac:dyDescent="0.2">
      <c r="A77" s="1" t="s">
        <v>297</v>
      </c>
      <c r="B77" s="1" t="str">
        <f t="shared" ca="1" si="1"/>
        <v>Open</v>
      </c>
      <c r="C77" s="1" t="s">
        <v>2770</v>
      </c>
      <c r="D77" s="1" t="s">
        <v>298</v>
      </c>
      <c r="E77" s="1" t="s">
        <v>299</v>
      </c>
      <c r="F77" s="1" t="s">
        <v>11</v>
      </c>
      <c r="G77" s="1" t="s">
        <v>300</v>
      </c>
      <c r="H77" s="24">
        <v>43999</v>
      </c>
      <c r="I77" s="1"/>
      <c r="J77" s="1">
        <v>47.931258</v>
      </c>
      <c r="K77" s="1">
        <v>106.9141</v>
      </c>
      <c r="L77" s="20">
        <v>0</v>
      </c>
      <c r="M77" s="20">
        <v>0.99930555555555556</v>
      </c>
      <c r="N77" s="1">
        <v>0.80309750451513773</v>
      </c>
      <c r="O77" s="1">
        <v>113.24817861348531</v>
      </c>
      <c r="P77" s="1">
        <v>1.0112657146351254</v>
      </c>
      <c r="Q77" s="1">
        <v>66.791759498207881</v>
      </c>
      <c r="R77" s="1">
        <v>0.75755918564339986</v>
      </c>
      <c r="S77" s="1">
        <v>98.468669040835721</v>
      </c>
      <c r="T77" s="1">
        <v>1.4528761451612906</v>
      </c>
      <c r="U77" s="1">
        <v>62.524535842293915</v>
      </c>
      <c r="V77" s="1">
        <v>0.84865717283263054</v>
      </c>
      <c r="W77" s="1">
        <v>103.36648509021843</v>
      </c>
      <c r="X77" s="1">
        <v>1.1772947609716846</v>
      </c>
      <c r="Y77" s="1">
        <v>58.366425089605741</v>
      </c>
      <c r="Z77" s="1">
        <v>0.70684152131025246</v>
      </c>
      <c r="AA77" s="1">
        <v>112.61542673107893</v>
      </c>
      <c r="AB77" s="1">
        <v>1.1504876039635177</v>
      </c>
      <c r="AC77" s="1">
        <v>58.718980414746561</v>
      </c>
    </row>
    <row r="78" spans="1:29" x14ac:dyDescent="0.2">
      <c r="A78" s="1" t="s">
        <v>301</v>
      </c>
      <c r="B78" s="1" t="str">
        <f t="shared" ca="1" si="1"/>
        <v>Open</v>
      </c>
      <c r="C78" s="1" t="s">
        <v>2770</v>
      </c>
      <c r="D78" s="1" t="s">
        <v>302</v>
      </c>
      <c r="E78" s="1" t="s">
        <v>303</v>
      </c>
      <c r="F78" s="1" t="s">
        <v>64</v>
      </c>
      <c r="G78" s="1" t="s">
        <v>304</v>
      </c>
      <c r="H78" s="24">
        <v>44006</v>
      </c>
      <c r="I78" s="1"/>
      <c r="J78" s="1">
        <v>47.890894000000003</v>
      </c>
      <c r="K78" s="1">
        <v>106.927723</v>
      </c>
      <c r="L78" s="20">
        <v>0</v>
      </c>
      <c r="M78" s="20">
        <v>0.99930555555555556</v>
      </c>
      <c r="N78" s="1">
        <v>1.0204314620766572</v>
      </c>
      <c r="O78" s="1">
        <v>190.31618385565056</v>
      </c>
      <c r="P78" s="1">
        <v>2.9774401216111115</v>
      </c>
      <c r="Q78" s="1">
        <v>56.994620430107524</v>
      </c>
      <c r="R78" s="1">
        <v>1.2295552832846532</v>
      </c>
      <c r="S78" s="1">
        <v>201.55869464387467</v>
      </c>
      <c r="T78" s="1">
        <v>3.5273205594017916</v>
      </c>
      <c r="U78" s="1">
        <v>67.942001433691743</v>
      </c>
      <c r="V78" s="1">
        <v>1.4938892367977399</v>
      </c>
      <c r="W78" s="1">
        <v>268.55220586894592</v>
      </c>
      <c r="X78" s="1">
        <v>3.428852181255555</v>
      </c>
      <c r="Y78" s="1">
        <v>80.408910035842283</v>
      </c>
      <c r="Z78" s="1">
        <v>0.87207130154489354</v>
      </c>
      <c r="AA78" s="1">
        <v>178.52562682379349</v>
      </c>
      <c r="AB78" s="1">
        <v>3.0251229675295694</v>
      </c>
      <c r="AC78" s="1">
        <v>55.993221966205823</v>
      </c>
    </row>
    <row r="79" spans="1:29" x14ac:dyDescent="0.2">
      <c r="A79" s="1" t="s">
        <v>305</v>
      </c>
      <c r="B79" s="1" t="str">
        <f t="shared" ca="1" si="1"/>
        <v>Open</v>
      </c>
      <c r="C79" s="1" t="s">
        <v>2770</v>
      </c>
      <c r="D79" s="1" t="s">
        <v>306</v>
      </c>
      <c r="E79" s="1" t="s">
        <v>307</v>
      </c>
      <c r="F79" s="1" t="s">
        <v>48</v>
      </c>
      <c r="G79" s="1" t="s">
        <v>308</v>
      </c>
      <c r="H79" s="24">
        <v>44110</v>
      </c>
      <c r="I79" s="1"/>
      <c r="J79" s="1">
        <v>47.902576000000003</v>
      </c>
      <c r="K79" s="1">
        <v>106.939967</v>
      </c>
      <c r="L79" s="20">
        <v>0.29166666666666669</v>
      </c>
      <c r="M79" s="20">
        <v>0.99930555555555556</v>
      </c>
      <c r="N79" s="1">
        <v>1.1921692016295729</v>
      </c>
      <c r="O79" s="1">
        <v>207.24369196581202</v>
      </c>
      <c r="P79" s="1">
        <v>2.5731456009107525</v>
      </c>
      <c r="Q79" s="1">
        <v>78.52360752688169</v>
      </c>
      <c r="R79" s="1">
        <v>1.5202134653053179</v>
      </c>
      <c r="S79" s="1">
        <v>241.7651410256411</v>
      </c>
      <c r="T79" s="1">
        <v>2.7571158718863793</v>
      </c>
      <c r="U79" s="1">
        <v>91.100424014336895</v>
      </c>
      <c r="V79" s="1">
        <v>1.3436395972224311</v>
      </c>
      <c r="W79" s="1">
        <v>211.08210427350431</v>
      </c>
      <c r="X79" s="1">
        <v>2.3748070861473116</v>
      </c>
      <c r="Y79" s="1">
        <v>82.042192473118277</v>
      </c>
      <c r="Z79" s="1">
        <v>0.98233910296027915</v>
      </c>
      <c r="AA79" s="1">
        <v>183.82646323134728</v>
      </c>
      <c r="AB79" s="1">
        <v>2.6545212064097536</v>
      </c>
      <c r="AC79" s="1">
        <v>70.564488479262664</v>
      </c>
    </row>
    <row r="80" spans="1:29" x14ac:dyDescent="0.2">
      <c r="A80" s="1" t="s">
        <v>309</v>
      </c>
      <c r="B80" s="1" t="str">
        <f t="shared" ca="1" si="1"/>
        <v>Closed</v>
      </c>
      <c r="C80" s="1" t="s">
        <v>2770</v>
      </c>
      <c r="D80" s="1" t="s">
        <v>310</v>
      </c>
      <c r="E80" s="1" t="s">
        <v>311</v>
      </c>
      <c r="F80" s="1" t="s">
        <v>33</v>
      </c>
      <c r="G80" s="1" t="s">
        <v>312</v>
      </c>
      <c r="H80" s="24">
        <v>44038</v>
      </c>
      <c r="I80" s="24">
        <v>45105</v>
      </c>
      <c r="J80" s="1">
        <v>47.927674099999997</v>
      </c>
      <c r="K80" s="1">
        <v>106.905686</v>
      </c>
      <c r="L80" s="20">
        <v>0.29166666666666669</v>
      </c>
      <c r="M80" s="20">
        <v>0.99930555555555556</v>
      </c>
      <c r="N80" s="1">
        <v>0.73639092957822683</v>
      </c>
      <c r="O80" s="1">
        <v>120.83034189340572</v>
      </c>
      <c r="P80" s="1">
        <v>1.0305683280225519</v>
      </c>
      <c r="Q80" s="1">
        <v>50.741335744455974</v>
      </c>
      <c r="R80" s="1">
        <v>0.77505565528977927</v>
      </c>
      <c r="S80" s="1">
        <v>110.38798636394478</v>
      </c>
      <c r="T80" s="1">
        <v>0.95323771147676561</v>
      </c>
      <c r="U80" s="1">
        <v>50.072527276006774</v>
      </c>
      <c r="V80" s="1">
        <v>0.92053739661526512</v>
      </c>
      <c r="W80" s="1">
        <v>133.18199833686319</v>
      </c>
      <c r="X80" s="1">
        <v>1.0622171211785376</v>
      </c>
      <c r="Y80" s="1">
        <v>52.728527320208435</v>
      </c>
      <c r="Z80" s="1">
        <v>0.61668712407906823</v>
      </c>
      <c r="AA80" s="1">
        <v>111.42882484304808</v>
      </c>
      <c r="AB80" s="1">
        <v>0.75426453629546997</v>
      </c>
      <c r="AC80" s="1">
        <v>41.5584292989384</v>
      </c>
    </row>
    <row r="81" spans="1:29" x14ac:dyDescent="0.2">
      <c r="A81" s="1" t="s">
        <v>313</v>
      </c>
      <c r="B81" s="1" t="str">
        <f t="shared" ca="1" si="1"/>
        <v>Open</v>
      </c>
      <c r="C81" s="1" t="s">
        <v>2770</v>
      </c>
      <c r="D81" s="1" t="s">
        <v>314</v>
      </c>
      <c r="E81" s="1" t="s">
        <v>315</v>
      </c>
      <c r="F81" s="1" t="s">
        <v>28</v>
      </c>
      <c r="G81" s="1" t="s">
        <v>316</v>
      </c>
      <c r="H81" s="24">
        <v>44037</v>
      </c>
      <c r="I81" s="1"/>
      <c r="J81" s="1">
        <v>47.905374999999999</v>
      </c>
      <c r="K81" s="1">
        <v>106.906122</v>
      </c>
      <c r="L81" s="20">
        <v>0</v>
      </c>
      <c r="M81" s="20">
        <v>0.99930555555555556</v>
      </c>
      <c r="N81" s="1">
        <v>1.1457797397761444</v>
      </c>
      <c r="O81" s="1">
        <v>242.6180188414055</v>
      </c>
      <c r="P81" s="1">
        <v>1.3372674699956992</v>
      </c>
      <c r="Q81" s="1">
        <v>100.37908709677417</v>
      </c>
      <c r="R81" s="1">
        <v>1.1257792310386989</v>
      </c>
      <c r="S81" s="1">
        <v>204.90216073124404</v>
      </c>
      <c r="T81" s="1">
        <v>1.0923383138982079</v>
      </c>
      <c r="U81" s="1">
        <v>84.16552043010752</v>
      </c>
      <c r="V81" s="1">
        <v>1.4580128053420294</v>
      </c>
      <c r="W81" s="1">
        <v>288.66906028985505</v>
      </c>
      <c r="X81" s="1">
        <v>1.4492086554763441</v>
      </c>
      <c r="Y81" s="1">
        <v>90.867782078853054</v>
      </c>
      <c r="Z81" s="1">
        <v>1.0109729605611857</v>
      </c>
      <c r="AA81" s="1">
        <v>227.21269719169723</v>
      </c>
      <c r="AB81" s="1">
        <v>0.91597742105645141</v>
      </c>
      <c r="AC81" s="1">
        <v>81.746938172042988</v>
      </c>
    </row>
    <row r="82" spans="1:29" x14ac:dyDescent="0.2">
      <c r="A82" s="1" t="s">
        <v>317</v>
      </c>
      <c r="B82" s="1" t="str">
        <f t="shared" ca="1" si="1"/>
        <v>Open</v>
      </c>
      <c r="C82" s="1" t="s">
        <v>2770</v>
      </c>
      <c r="D82" s="1" t="s">
        <v>318</v>
      </c>
      <c r="E82" s="1" t="s">
        <v>319</v>
      </c>
      <c r="F82" s="1" t="s">
        <v>48</v>
      </c>
      <c r="G82" s="1" t="s">
        <v>320</v>
      </c>
      <c r="H82" s="24">
        <v>44040</v>
      </c>
      <c r="I82" s="1"/>
      <c r="J82" s="1">
        <v>47.921861999999997</v>
      </c>
      <c r="K82" s="1">
        <v>106.97908099999999</v>
      </c>
      <c r="L82" s="20">
        <v>0.29166666666666669</v>
      </c>
      <c r="M82" s="20">
        <v>0.99930555555555556</v>
      </c>
      <c r="N82" s="1">
        <v>0.47207862962089275</v>
      </c>
      <c r="O82" s="1">
        <v>73.13016535612536</v>
      </c>
      <c r="P82" s="1">
        <v>1.7093503206089606</v>
      </c>
      <c r="Q82" s="1">
        <v>63.438022580645168</v>
      </c>
      <c r="R82" s="1">
        <v>0.49194028859021843</v>
      </c>
      <c r="S82" s="1">
        <v>65.422990028490034</v>
      </c>
      <c r="T82" s="1">
        <v>1.3264121857681004</v>
      </c>
      <c r="U82" s="1">
        <v>61.149122222222218</v>
      </c>
      <c r="V82" s="1">
        <v>0.44533514554412162</v>
      </c>
      <c r="W82" s="1">
        <v>67.788274909781578</v>
      </c>
      <c r="X82" s="1">
        <v>1.1897810055498208</v>
      </c>
      <c r="Y82" s="1">
        <v>45.894908243727592</v>
      </c>
      <c r="Z82" s="1">
        <v>0.37355294975201286</v>
      </c>
      <c r="AA82" s="1">
        <v>70.0865936661299</v>
      </c>
      <c r="AB82" s="1">
        <v>0.95357983910983091</v>
      </c>
      <c r="AC82" s="1">
        <v>44.40151958525346</v>
      </c>
    </row>
    <row r="83" spans="1:29" x14ac:dyDescent="0.2">
      <c r="A83" s="1" t="s">
        <v>321</v>
      </c>
      <c r="B83" s="1" t="str">
        <f t="shared" ca="1" si="1"/>
        <v>Open</v>
      </c>
      <c r="C83" s="1" t="s">
        <v>2770</v>
      </c>
      <c r="D83" s="1" t="s">
        <v>322</v>
      </c>
      <c r="E83" s="1" t="s">
        <v>323</v>
      </c>
      <c r="F83" s="1" t="s">
        <v>64</v>
      </c>
      <c r="G83" s="1" t="s">
        <v>324</v>
      </c>
      <c r="H83" s="24">
        <v>44044</v>
      </c>
      <c r="I83" s="1"/>
      <c r="J83" s="1">
        <v>47.894196000000001</v>
      </c>
      <c r="K83" s="1">
        <v>106.930772</v>
      </c>
      <c r="L83" s="20">
        <v>0.29166666666666669</v>
      </c>
      <c r="M83" s="20">
        <v>0.99930555555555556</v>
      </c>
      <c r="N83" s="1">
        <v>0.41079722244402661</v>
      </c>
      <c r="O83" s="1">
        <v>70.991391073124404</v>
      </c>
      <c r="P83" s="1">
        <v>0.85448427770967728</v>
      </c>
      <c r="Q83" s="1">
        <v>34.043103584229392</v>
      </c>
      <c r="R83" s="1">
        <v>0.49093390872554599</v>
      </c>
      <c r="S83" s="1">
        <v>70.05080009496676</v>
      </c>
      <c r="T83" s="1">
        <v>1.2795514935544798</v>
      </c>
      <c r="U83" s="1">
        <v>47.959408602150546</v>
      </c>
      <c r="V83" s="1">
        <v>0.46255841205760689</v>
      </c>
      <c r="W83" s="1">
        <v>79.993727483380823</v>
      </c>
      <c r="X83" s="1">
        <v>1.226158162449104</v>
      </c>
      <c r="Y83" s="1">
        <v>46.399687096774194</v>
      </c>
      <c r="Z83" s="1">
        <v>0.3843872345889241</v>
      </c>
      <c r="AA83" s="1">
        <v>65.525868500881828</v>
      </c>
      <c r="AB83" s="1">
        <v>0.87322257903072187</v>
      </c>
      <c r="AC83" s="1">
        <v>30.581191244239637</v>
      </c>
    </row>
    <row r="84" spans="1:29" x14ac:dyDescent="0.2">
      <c r="A84" s="1" t="s">
        <v>325</v>
      </c>
      <c r="B84" s="1" t="str">
        <f t="shared" ca="1" si="1"/>
        <v>Open</v>
      </c>
      <c r="C84" s="1" t="s">
        <v>2770</v>
      </c>
      <c r="D84" s="1" t="s">
        <v>326</v>
      </c>
      <c r="E84" s="1" t="s">
        <v>327</v>
      </c>
      <c r="F84" s="1" t="s">
        <v>48</v>
      </c>
      <c r="G84" s="1" t="s">
        <v>328</v>
      </c>
      <c r="H84" s="24">
        <v>44043</v>
      </c>
      <c r="I84" s="1"/>
      <c r="J84" s="1">
        <v>47.912244000000001</v>
      </c>
      <c r="K84" s="1">
        <v>106.944552</v>
      </c>
      <c r="L84" s="20">
        <v>0</v>
      </c>
      <c r="M84" s="20">
        <v>0.99930555555555556</v>
      </c>
      <c r="N84" s="1">
        <v>0.65493541143513767</v>
      </c>
      <c r="O84" s="1">
        <v>106.8576083760684</v>
      </c>
      <c r="P84" s="1">
        <v>1.637751387347312</v>
      </c>
      <c r="Q84" s="1">
        <v>74.204141218638014</v>
      </c>
      <c r="R84" s="1">
        <v>0.67698759343874626</v>
      </c>
      <c r="S84" s="1">
        <v>87.887633903133917</v>
      </c>
      <c r="T84" s="1">
        <v>1.3313375961275991</v>
      </c>
      <c r="U84" s="1">
        <v>66.284622222222211</v>
      </c>
      <c r="V84" s="1">
        <v>0.67298437910784414</v>
      </c>
      <c r="W84" s="1">
        <v>103.92709751187085</v>
      </c>
      <c r="X84" s="1">
        <v>1.3191456338046594</v>
      </c>
      <c r="Y84" s="1">
        <v>60.044074910394251</v>
      </c>
      <c r="Z84" s="1">
        <v>0.49507595930434789</v>
      </c>
      <c r="AA84" s="1">
        <v>90.057746645195905</v>
      </c>
      <c r="AB84" s="1">
        <v>1.121959157449923</v>
      </c>
      <c r="AC84" s="1">
        <v>50.501964951356875</v>
      </c>
    </row>
    <row r="85" spans="1:29" x14ac:dyDescent="0.2">
      <c r="A85" s="1" t="s">
        <v>329</v>
      </c>
      <c r="B85" s="1" t="str">
        <f t="shared" ca="1" si="1"/>
        <v>Open</v>
      </c>
      <c r="C85" s="1" t="s">
        <v>2770</v>
      </c>
      <c r="D85" s="1" t="s">
        <v>330</v>
      </c>
      <c r="E85" s="1" t="s">
        <v>331</v>
      </c>
      <c r="F85" s="1" t="s">
        <v>48</v>
      </c>
      <c r="G85" s="1" t="s">
        <v>332</v>
      </c>
      <c r="H85" s="24">
        <v>44059</v>
      </c>
      <c r="I85" s="1"/>
      <c r="J85" s="1">
        <v>47.926696999999997</v>
      </c>
      <c r="K85" s="1">
        <v>106.944672</v>
      </c>
      <c r="L85" s="20">
        <v>0.29166666666666669</v>
      </c>
      <c r="M85" s="20">
        <v>0.99930555555555556</v>
      </c>
      <c r="N85" s="1">
        <v>0.46887097022429253</v>
      </c>
      <c r="O85" s="1">
        <v>73.2750204368471</v>
      </c>
      <c r="P85" s="1">
        <v>1.8166872385788528</v>
      </c>
      <c r="Q85" s="1">
        <v>42.593175627240143</v>
      </c>
      <c r="R85" s="1">
        <v>0.5636136556353275</v>
      </c>
      <c r="S85" s="1">
        <v>74.075059354226013</v>
      </c>
      <c r="T85" s="1">
        <v>2.2072499442845874</v>
      </c>
      <c r="U85" s="1">
        <v>51.025307885304663</v>
      </c>
      <c r="V85" s="1">
        <v>0.5377160704994427</v>
      </c>
      <c r="W85" s="1">
        <v>68.896761008918602</v>
      </c>
      <c r="X85" s="1">
        <v>1.8907853853288135</v>
      </c>
      <c r="Y85" s="1">
        <v>35.044661748307455</v>
      </c>
      <c r="Z85" s="1">
        <v>0.36489963626655442</v>
      </c>
      <c r="AA85" s="1">
        <v>68.096379910213258</v>
      </c>
      <c r="AB85" s="1">
        <v>1.3188994779166663</v>
      </c>
      <c r="AC85" s="1">
        <v>34.750480414746541</v>
      </c>
    </row>
    <row r="86" spans="1:29" x14ac:dyDescent="0.2">
      <c r="A86" s="1" t="s">
        <v>333</v>
      </c>
      <c r="B86" s="1" t="str">
        <f t="shared" ca="1" si="1"/>
        <v>Open</v>
      </c>
      <c r="C86" s="1" t="s">
        <v>2770</v>
      </c>
      <c r="D86" s="1" t="s">
        <v>334</v>
      </c>
      <c r="E86" s="1" t="s">
        <v>335</v>
      </c>
      <c r="F86" s="1" t="s">
        <v>64</v>
      </c>
      <c r="G86" s="1" t="s">
        <v>336</v>
      </c>
      <c r="H86" s="24">
        <v>44062</v>
      </c>
      <c r="I86" s="1"/>
      <c r="J86" s="1">
        <v>47.845734999999998</v>
      </c>
      <c r="K86" s="1">
        <v>106.786948</v>
      </c>
      <c r="L86" s="20">
        <v>0</v>
      </c>
      <c r="M86" s="20">
        <v>0.99930555555555556</v>
      </c>
      <c r="N86" s="1">
        <v>1.0848098849737704</v>
      </c>
      <c r="O86" s="1">
        <v>197.71880917378917</v>
      </c>
      <c r="P86" s="1">
        <v>2.8726516808275995</v>
      </c>
      <c r="Q86" s="1">
        <v>75.563770609319008</v>
      </c>
      <c r="R86" s="1">
        <v>0.91576123669943021</v>
      </c>
      <c r="S86" s="1">
        <v>146.65337559354225</v>
      </c>
      <c r="T86" s="1">
        <v>2.2655270730003587</v>
      </c>
      <c r="U86" s="1">
        <v>67.408789605734782</v>
      </c>
      <c r="V86" s="1">
        <v>1.2231296677628489</v>
      </c>
      <c r="W86" s="1">
        <v>196.44540214624882</v>
      </c>
      <c r="X86" s="1">
        <v>2.9258603964096768</v>
      </c>
      <c r="Y86" s="1">
        <v>82.072089605734774</v>
      </c>
      <c r="Z86" s="1">
        <v>0.87536021977294676</v>
      </c>
      <c r="AA86" s="1">
        <v>189.82043639291464</v>
      </c>
      <c r="AB86" s="1">
        <v>1.9807090607788016</v>
      </c>
      <c r="AC86" s="1">
        <v>58.765652841781865</v>
      </c>
    </row>
    <row r="87" spans="1:29" x14ac:dyDescent="0.2">
      <c r="A87" s="1" t="s">
        <v>337</v>
      </c>
      <c r="B87" s="1" t="str">
        <f t="shared" ca="1" si="1"/>
        <v>Open</v>
      </c>
      <c r="C87" s="1" t="s">
        <v>2770</v>
      </c>
      <c r="D87" s="1" t="s">
        <v>338</v>
      </c>
      <c r="E87" s="1" t="s">
        <v>339</v>
      </c>
      <c r="F87" s="1" t="s">
        <v>11</v>
      </c>
      <c r="G87" s="1" t="s">
        <v>340</v>
      </c>
      <c r="H87" s="24">
        <v>44065</v>
      </c>
      <c r="I87" s="1"/>
      <c r="J87" s="1">
        <v>47.917209</v>
      </c>
      <c r="K87" s="1">
        <v>106.92886300000001</v>
      </c>
      <c r="L87" s="20">
        <v>0.29166666666666669</v>
      </c>
      <c r="M87" s="20">
        <v>0.99930555555555556</v>
      </c>
      <c r="N87" s="1">
        <v>0.67356115134881289</v>
      </c>
      <c r="O87" s="1">
        <v>108.0896868945869</v>
      </c>
      <c r="P87" s="1">
        <v>1.4016718796218637</v>
      </c>
      <c r="Q87" s="1">
        <v>64.884771326164881</v>
      </c>
      <c r="R87" s="1">
        <v>0.78295751629487187</v>
      </c>
      <c r="S87" s="1">
        <v>100.75371794871795</v>
      </c>
      <c r="T87" s="1">
        <v>1.2336599950268816</v>
      </c>
      <c r="U87" s="1">
        <v>68.197674193548394</v>
      </c>
      <c r="V87" s="1">
        <v>0.79765130071065526</v>
      </c>
      <c r="W87" s="1">
        <v>115.8400051092118</v>
      </c>
      <c r="X87" s="1">
        <v>1.0982701053835127</v>
      </c>
      <c r="Y87" s="1">
        <v>66.382458422939067</v>
      </c>
      <c r="Z87" s="1">
        <v>0.60155642178752433</v>
      </c>
      <c r="AA87" s="1">
        <v>97.704487979207272</v>
      </c>
      <c r="AB87" s="1">
        <v>1.1231787313003074</v>
      </c>
      <c r="AC87" s="1">
        <v>61.913901305683567</v>
      </c>
    </row>
    <row r="88" spans="1:29" x14ac:dyDescent="0.2">
      <c r="A88" s="1" t="s">
        <v>341</v>
      </c>
      <c r="B88" s="1" t="str">
        <f t="shared" ca="1" si="1"/>
        <v>Open</v>
      </c>
      <c r="C88" s="1" t="s">
        <v>2770</v>
      </c>
      <c r="D88" s="1" t="s">
        <v>342</v>
      </c>
      <c r="E88" s="1" t="s">
        <v>343</v>
      </c>
      <c r="F88" s="1" t="s">
        <v>48</v>
      </c>
      <c r="G88" s="1" t="s">
        <v>344</v>
      </c>
      <c r="H88" s="24">
        <v>44061</v>
      </c>
      <c r="I88" s="1"/>
      <c r="J88" s="1">
        <v>47.914299999999997</v>
      </c>
      <c r="K88" s="1">
        <v>106.930684</v>
      </c>
      <c r="L88" s="20">
        <v>0</v>
      </c>
      <c r="M88" s="20">
        <v>0.99930555555555556</v>
      </c>
      <c r="N88" s="1">
        <v>0.73137743264520416</v>
      </c>
      <c r="O88" s="1">
        <v>123.97399221272553</v>
      </c>
      <c r="P88" s="1">
        <v>1.3960522326336919</v>
      </c>
      <c r="Q88" s="1">
        <v>69.403698566308222</v>
      </c>
      <c r="R88" s="1">
        <v>0.75376614810683762</v>
      </c>
      <c r="S88" s="1">
        <v>117.11889981006648</v>
      </c>
      <c r="T88" s="1">
        <v>1.3832956202817206</v>
      </c>
      <c r="U88" s="1">
        <v>57.367735483870973</v>
      </c>
      <c r="V88" s="1">
        <v>0.98354580541018033</v>
      </c>
      <c r="W88" s="1">
        <v>148.1190989363723</v>
      </c>
      <c r="X88" s="1">
        <v>1.5396963552648746</v>
      </c>
      <c r="Y88" s="1">
        <v>62.720838709677423</v>
      </c>
      <c r="Z88" s="1">
        <v>0.56165780107622121</v>
      </c>
      <c r="AA88" s="1">
        <v>114.5547353730542</v>
      </c>
      <c r="AB88" s="1">
        <v>1.0967906179800309</v>
      </c>
      <c r="AC88" s="1">
        <v>46.979761136712746</v>
      </c>
    </row>
    <row r="89" spans="1:29" x14ac:dyDescent="0.2">
      <c r="A89" s="1" t="s">
        <v>345</v>
      </c>
      <c r="B89" s="1" t="str">
        <f t="shared" ca="1" si="1"/>
        <v>Open</v>
      </c>
      <c r="C89" s="1" t="s">
        <v>2771</v>
      </c>
      <c r="D89" s="1" t="s">
        <v>346</v>
      </c>
      <c r="E89" s="1" t="s">
        <v>346</v>
      </c>
      <c r="F89" s="1" t="s">
        <v>347</v>
      </c>
      <c r="G89" s="1" t="s">
        <v>348</v>
      </c>
      <c r="H89" s="24">
        <v>44377</v>
      </c>
      <c r="I89" s="1"/>
      <c r="J89" s="1">
        <v>47.651612999999998</v>
      </c>
      <c r="K89" s="1">
        <v>106.82211700000001</v>
      </c>
      <c r="L89" s="20">
        <v>0</v>
      </c>
      <c r="M89" s="20">
        <v>0.99930555555555556</v>
      </c>
      <c r="N89" s="1">
        <v>2.0848646919737894</v>
      </c>
      <c r="O89" s="1">
        <v>319.13204393162391</v>
      </c>
      <c r="P89" s="1">
        <v>1.5920900114677421</v>
      </c>
      <c r="Q89" s="1">
        <v>128.37264372759861</v>
      </c>
      <c r="R89" s="1">
        <v>1.9062066959164292</v>
      </c>
      <c r="S89" s="1">
        <v>253.83582336182334</v>
      </c>
      <c r="T89" s="1">
        <v>1.4120704506093193</v>
      </c>
      <c r="U89" s="1">
        <v>114.9007311827957</v>
      </c>
      <c r="V89" s="1">
        <v>3.0198961994283189</v>
      </c>
      <c r="W89" s="1">
        <v>397.87152818613481</v>
      </c>
      <c r="X89" s="1">
        <v>2.2784594964075273</v>
      </c>
      <c r="Y89" s="1">
        <v>169.08615017921147</v>
      </c>
      <c r="Z89" s="1">
        <v>1.9481511921572734</v>
      </c>
      <c r="AA89" s="1">
        <v>321.11056843800321</v>
      </c>
      <c r="AB89" s="1">
        <v>1.5405227845387863</v>
      </c>
      <c r="AC89" s="1">
        <v>125.09595430107527</v>
      </c>
    </row>
    <row r="90" spans="1:29" x14ac:dyDescent="0.2">
      <c r="A90" s="1" t="s">
        <v>349</v>
      </c>
      <c r="B90" s="1" t="str">
        <f t="shared" ca="1" si="1"/>
        <v>Open</v>
      </c>
      <c r="C90" s="1" t="s">
        <v>2771</v>
      </c>
      <c r="D90" s="1" t="s">
        <v>350</v>
      </c>
      <c r="E90" s="1" t="s">
        <v>350</v>
      </c>
      <c r="F90" s="1" t="s">
        <v>347</v>
      </c>
      <c r="G90" s="1" t="s">
        <v>351</v>
      </c>
      <c r="H90" s="24">
        <v>44377</v>
      </c>
      <c r="I90" s="1"/>
      <c r="J90" s="1">
        <v>47.651696999999999</v>
      </c>
      <c r="K90" s="1">
        <v>106.821123</v>
      </c>
      <c r="L90" s="20">
        <v>0</v>
      </c>
      <c r="M90" s="20">
        <v>0.99930555555555556</v>
      </c>
      <c r="N90" s="1">
        <v>0.42685765241487056</v>
      </c>
      <c r="O90" s="1">
        <v>57.143940016708434</v>
      </c>
      <c r="P90" s="1">
        <v>4.5545497506157641E-2</v>
      </c>
      <c r="Q90" s="1">
        <v>5.4150155101020907</v>
      </c>
      <c r="R90" s="1">
        <v>0.44231942274970759</v>
      </c>
      <c r="S90" s="1">
        <v>49.343375828460033</v>
      </c>
      <c r="T90" s="1">
        <v>7.3653944881575395E-2</v>
      </c>
      <c r="U90" s="1">
        <v>4.6217030327428885</v>
      </c>
      <c r="V90" s="1">
        <v>0.47127857275238094</v>
      </c>
      <c r="W90" s="1">
        <v>61.144875396825398</v>
      </c>
      <c r="X90" s="1">
        <v>7.9756759952526943E-2</v>
      </c>
      <c r="Y90" s="1">
        <v>4.7515748327759191</v>
      </c>
      <c r="Z90" s="1">
        <v>0.41337067986274506</v>
      </c>
      <c r="AA90" s="1">
        <v>52.326027863777085</v>
      </c>
      <c r="AB90" s="1">
        <v>4.7857065703804984E-2</v>
      </c>
      <c r="AC90" s="1">
        <v>5.7243903508771927</v>
      </c>
    </row>
    <row r="91" spans="1:29" x14ac:dyDescent="0.2">
      <c r="A91" s="1" t="s">
        <v>352</v>
      </c>
      <c r="B91" s="1" t="str">
        <f t="shared" ca="1" si="1"/>
        <v>Open</v>
      </c>
      <c r="C91" s="1" t="s">
        <v>2770</v>
      </c>
      <c r="D91" s="1" t="s">
        <v>353</v>
      </c>
      <c r="E91" s="1" t="s">
        <v>354</v>
      </c>
      <c r="F91" s="1" t="s">
        <v>64</v>
      </c>
      <c r="G91" s="1" t="s">
        <v>355</v>
      </c>
      <c r="H91" s="24">
        <v>44098</v>
      </c>
      <c r="I91" s="1"/>
      <c r="J91" s="1">
        <v>47.896042999999999</v>
      </c>
      <c r="K91" s="1">
        <v>106.885571</v>
      </c>
      <c r="L91" s="20">
        <v>0</v>
      </c>
      <c r="M91" s="20">
        <v>0.99930555555555556</v>
      </c>
      <c r="N91" s="1">
        <v>0.66799150807342811</v>
      </c>
      <c r="O91" s="1">
        <v>98.700152345679001</v>
      </c>
      <c r="P91" s="1">
        <v>0.86004229104121865</v>
      </c>
      <c r="Q91" s="1">
        <v>58.437965232974932</v>
      </c>
      <c r="R91" s="1">
        <v>0.6995603862169989</v>
      </c>
      <c r="S91" s="1">
        <v>86.414111585944909</v>
      </c>
      <c r="T91" s="1">
        <v>0.79182934238895075</v>
      </c>
      <c r="U91" s="1">
        <v>51.82439265850946</v>
      </c>
      <c r="V91" s="1">
        <v>0.85534865473008581</v>
      </c>
      <c r="W91" s="1">
        <v>100.75097114909779</v>
      </c>
      <c r="X91" s="1">
        <v>0.93446517880088986</v>
      </c>
      <c r="Y91" s="1">
        <v>59.070805710048198</v>
      </c>
      <c r="Z91" s="1">
        <v>0.56342387177777775</v>
      </c>
      <c r="AA91" s="1">
        <v>85.370086419753079</v>
      </c>
      <c r="AB91" s="1">
        <v>0.63766975172004614</v>
      </c>
      <c r="AC91" s="1">
        <v>50.164531105990783</v>
      </c>
    </row>
    <row r="92" spans="1:29" x14ac:dyDescent="0.2">
      <c r="A92" s="1" t="s">
        <v>356</v>
      </c>
      <c r="B92" s="1" t="str">
        <f t="shared" ca="1" si="1"/>
        <v>Open</v>
      </c>
      <c r="C92" s="1" t="s">
        <v>2770</v>
      </c>
      <c r="D92" s="1" t="s">
        <v>357</v>
      </c>
      <c r="E92" s="1" t="s">
        <v>358</v>
      </c>
      <c r="F92" s="1" t="s">
        <v>28</v>
      </c>
      <c r="G92" s="1" t="s">
        <v>359</v>
      </c>
      <c r="H92" s="24">
        <v>44094</v>
      </c>
      <c r="I92" s="1"/>
      <c r="J92" s="1">
        <v>47.912989000000003</v>
      </c>
      <c r="K92" s="1">
        <v>106.873025</v>
      </c>
      <c r="L92" s="20">
        <v>0</v>
      </c>
      <c r="M92" s="20">
        <v>0.99930555555555556</v>
      </c>
      <c r="N92" s="1">
        <v>0.48018538499838553</v>
      </c>
      <c r="O92" s="1">
        <v>87.281032269705619</v>
      </c>
      <c r="P92" s="1">
        <v>0.59927186891433715</v>
      </c>
      <c r="Q92" s="1">
        <v>31.288225806451617</v>
      </c>
      <c r="R92" s="1">
        <v>0.51419831811063632</v>
      </c>
      <c r="S92" s="1">
        <v>83.307839506172854</v>
      </c>
      <c r="T92" s="1">
        <v>0.61970249898960572</v>
      </c>
      <c r="U92" s="1">
        <v>37.617970250896064</v>
      </c>
      <c r="V92" s="1">
        <v>0.56777886894630569</v>
      </c>
      <c r="W92" s="1">
        <v>82.385058024691347</v>
      </c>
      <c r="X92" s="1">
        <v>0.59816347081505372</v>
      </c>
      <c r="Y92" s="1">
        <v>34.805988530465953</v>
      </c>
      <c r="Z92" s="1">
        <v>0.42717123629361242</v>
      </c>
      <c r="AA92" s="1">
        <v>86.425158883521206</v>
      </c>
      <c r="AB92" s="1">
        <v>0.50081284476881727</v>
      </c>
      <c r="AC92" s="1">
        <v>29.947846390168973</v>
      </c>
    </row>
    <row r="93" spans="1:29" x14ac:dyDescent="0.2">
      <c r="A93" s="1" t="s">
        <v>360</v>
      </c>
      <c r="B93" s="1" t="str">
        <f t="shared" ca="1" si="1"/>
        <v>Open</v>
      </c>
      <c r="C93" s="1" t="s">
        <v>2770</v>
      </c>
      <c r="D93" s="1" t="s">
        <v>361</v>
      </c>
      <c r="E93" s="1" t="s">
        <v>362</v>
      </c>
      <c r="F93" s="1" t="s">
        <v>145</v>
      </c>
      <c r="G93" s="1" t="s">
        <v>363</v>
      </c>
      <c r="H93" s="24">
        <v>44111</v>
      </c>
      <c r="I93" s="1"/>
      <c r="J93" s="1">
        <v>47.898637000000001</v>
      </c>
      <c r="K93" s="1">
        <v>106.665476</v>
      </c>
      <c r="L93" s="20">
        <v>0</v>
      </c>
      <c r="M93" s="20">
        <v>0.99930555555555556</v>
      </c>
      <c r="N93" s="1">
        <v>1.0026402926404749</v>
      </c>
      <c r="O93" s="1">
        <v>130.14629853751191</v>
      </c>
      <c r="P93" s="1">
        <v>0.7046798481465949</v>
      </c>
      <c r="Q93" s="1">
        <v>55.148650179211472</v>
      </c>
      <c r="R93" s="1">
        <v>1.0801905064668804</v>
      </c>
      <c r="S93" s="1">
        <v>120.37789316239319</v>
      </c>
      <c r="T93" s="1">
        <v>0.78297700029045048</v>
      </c>
      <c r="U93" s="1">
        <v>56.959771377368135</v>
      </c>
      <c r="V93" s="1">
        <v>2.2447503749648625</v>
      </c>
      <c r="W93" s="1">
        <v>247.9251443494777</v>
      </c>
      <c r="X93" s="1">
        <v>1.5377234522767027</v>
      </c>
      <c r="Y93" s="1">
        <v>107.79156272401433</v>
      </c>
      <c r="Z93" s="1">
        <v>0.85588117046913581</v>
      </c>
      <c r="AA93" s="1">
        <v>136.46541049382714</v>
      </c>
      <c r="AB93" s="1">
        <v>0.56510422656950843</v>
      </c>
      <c r="AC93" s="1">
        <v>49.768571812596008</v>
      </c>
    </row>
    <row r="94" spans="1:29" x14ac:dyDescent="0.2">
      <c r="A94" s="1" t="s">
        <v>364</v>
      </c>
      <c r="B94" s="1" t="str">
        <f t="shared" ca="1" si="1"/>
        <v>Open</v>
      </c>
      <c r="C94" s="1" t="s">
        <v>2770</v>
      </c>
      <c r="D94" s="1" t="s">
        <v>365</v>
      </c>
      <c r="E94" s="1" t="s">
        <v>366</v>
      </c>
      <c r="F94" s="1" t="s">
        <v>48</v>
      </c>
      <c r="G94" s="1" t="s">
        <v>367</v>
      </c>
      <c r="H94" s="24">
        <v>44070</v>
      </c>
      <c r="I94" s="1"/>
      <c r="J94" s="1">
        <v>47.911932</v>
      </c>
      <c r="K94" s="1">
        <v>106.953901</v>
      </c>
      <c r="L94" s="20">
        <v>0.29166666666666669</v>
      </c>
      <c r="M94" s="20">
        <v>0.99930555555555556</v>
      </c>
      <c r="N94" s="1">
        <v>0.4836936887439886</v>
      </c>
      <c r="O94" s="1">
        <v>75.957215498575479</v>
      </c>
      <c r="P94" s="1">
        <v>1.4281724069763442</v>
      </c>
      <c r="Q94" s="1">
        <v>45.16977347670251</v>
      </c>
      <c r="R94" s="1">
        <v>0.50213868261823358</v>
      </c>
      <c r="S94" s="1">
        <v>71.917473884140563</v>
      </c>
      <c r="T94" s="1">
        <v>1.39754825835233</v>
      </c>
      <c r="U94" s="1">
        <v>43.531812186379916</v>
      </c>
      <c r="V94" s="1">
        <v>0.61867737395912625</v>
      </c>
      <c r="W94" s="1">
        <v>85.169014985754984</v>
      </c>
      <c r="X94" s="1">
        <v>1.5693772160630821</v>
      </c>
      <c r="Y94" s="1">
        <v>53.487350179211468</v>
      </c>
      <c r="Z94" s="1">
        <v>0.3701155268572196</v>
      </c>
      <c r="AA94" s="1">
        <v>62.468468599033805</v>
      </c>
      <c r="AB94" s="1">
        <v>0.87979581376881699</v>
      </c>
      <c r="AC94" s="1">
        <v>34.423601766513052</v>
      </c>
    </row>
    <row r="95" spans="1:29" x14ac:dyDescent="0.2">
      <c r="A95" s="1" t="s">
        <v>368</v>
      </c>
      <c r="B95" s="1" t="str">
        <f t="shared" ca="1" si="1"/>
        <v>Open</v>
      </c>
      <c r="C95" s="1" t="s">
        <v>2770</v>
      </c>
      <c r="D95" s="1" t="s">
        <v>369</v>
      </c>
      <c r="E95" s="1" t="s">
        <v>370</v>
      </c>
      <c r="F95" s="1" t="s">
        <v>48</v>
      </c>
      <c r="G95" s="1" t="s">
        <v>371</v>
      </c>
      <c r="H95" s="24">
        <v>44074</v>
      </c>
      <c r="I95" s="1"/>
      <c r="J95" s="1">
        <v>47.909171000000001</v>
      </c>
      <c r="K95" s="1">
        <v>106.943783</v>
      </c>
      <c r="L95" s="20">
        <v>0</v>
      </c>
      <c r="M95" s="20">
        <v>0.99930555555555556</v>
      </c>
      <c r="N95" s="1">
        <v>0.89104550557783135</v>
      </c>
      <c r="O95" s="1">
        <v>141.42150569800572</v>
      </c>
      <c r="P95" s="1">
        <v>0.87814721735340495</v>
      </c>
      <c r="Q95" s="1">
        <v>60.935406093189975</v>
      </c>
      <c r="R95" s="1">
        <v>0.89506748988300089</v>
      </c>
      <c r="S95" s="1">
        <v>144.21174486229822</v>
      </c>
      <c r="T95" s="1">
        <v>0.8674716258946239</v>
      </c>
      <c r="U95" s="1">
        <v>58.515387813620073</v>
      </c>
      <c r="V95" s="1">
        <v>1.0507567119311871</v>
      </c>
      <c r="W95" s="1">
        <v>156.72607029439695</v>
      </c>
      <c r="X95" s="1">
        <v>1.0065135319996295</v>
      </c>
      <c r="Y95" s="1">
        <v>60.548243974786793</v>
      </c>
      <c r="Z95" s="1">
        <v>0.63415489767298394</v>
      </c>
      <c r="AA95" s="1">
        <v>115.25591872083902</v>
      </c>
      <c r="AB95" s="1">
        <v>0.67028772511469514</v>
      </c>
      <c r="AC95" s="1">
        <v>51.798119076065298</v>
      </c>
    </row>
    <row r="96" spans="1:29" x14ac:dyDescent="0.2">
      <c r="A96" s="1" t="s">
        <v>372</v>
      </c>
      <c r="B96" s="1" t="str">
        <f t="shared" ca="1" si="1"/>
        <v>Open</v>
      </c>
      <c r="C96" s="1" t="s">
        <v>2770</v>
      </c>
      <c r="D96" s="1" t="s">
        <v>373</v>
      </c>
      <c r="E96" s="1" t="s">
        <v>374</v>
      </c>
      <c r="F96" s="1" t="s">
        <v>11</v>
      </c>
      <c r="G96" s="1" t="s">
        <v>375</v>
      </c>
      <c r="H96" s="24">
        <v>44097</v>
      </c>
      <c r="I96" s="1"/>
      <c r="J96" s="1">
        <v>47.932344000000001</v>
      </c>
      <c r="K96" s="1">
        <v>106.91673900000001</v>
      </c>
      <c r="L96" s="20">
        <v>0</v>
      </c>
      <c r="M96" s="20">
        <v>0.99930555555555556</v>
      </c>
      <c r="N96" s="1">
        <v>0.8598465184906553</v>
      </c>
      <c r="O96" s="1">
        <v>151.47713559354224</v>
      </c>
      <c r="P96" s="1">
        <v>1.1114670761946239</v>
      </c>
      <c r="Q96" s="1">
        <v>73.519103225806461</v>
      </c>
      <c r="R96" s="1">
        <v>0.83832236931149096</v>
      </c>
      <c r="S96" s="1">
        <v>134.8055797720798</v>
      </c>
      <c r="T96" s="1">
        <v>0.95724731726559131</v>
      </c>
      <c r="U96" s="1">
        <v>61.890281720430103</v>
      </c>
      <c r="V96" s="1">
        <v>0.70169044524271607</v>
      </c>
      <c r="W96" s="1">
        <v>106.0353092117759</v>
      </c>
      <c r="X96" s="1">
        <v>0.84318048287838343</v>
      </c>
      <c r="Y96" s="1">
        <v>56.141005190952917</v>
      </c>
      <c r="Z96" s="1">
        <v>0.79452169219444446</v>
      </c>
      <c r="AA96" s="1">
        <v>163.70535030864198</v>
      </c>
      <c r="AB96" s="1">
        <v>0.91339879162058413</v>
      </c>
      <c r="AC96" s="1">
        <v>64.280501920122902</v>
      </c>
    </row>
    <row r="97" spans="1:29" x14ac:dyDescent="0.2">
      <c r="A97" s="1" t="s">
        <v>376</v>
      </c>
      <c r="B97" s="1" t="str">
        <f t="shared" ca="1" si="1"/>
        <v>Closed</v>
      </c>
      <c r="C97" s="1" t="s">
        <v>2770</v>
      </c>
      <c r="D97" s="1" t="s">
        <v>377</v>
      </c>
      <c r="E97" s="1" t="s">
        <v>378</v>
      </c>
      <c r="F97" s="1" t="s">
        <v>64</v>
      </c>
      <c r="G97" s="1" t="s">
        <v>379</v>
      </c>
      <c r="H97" s="24">
        <v>44099</v>
      </c>
      <c r="I97" s="24">
        <v>45190</v>
      </c>
      <c r="J97" s="1">
        <v>47.900134000000001</v>
      </c>
      <c r="K97" s="1">
        <v>106.897459</v>
      </c>
      <c r="L97" s="20">
        <v>0.29166666666666669</v>
      </c>
      <c r="M97" s="20">
        <v>0.99930555555555556</v>
      </c>
      <c r="N97" s="1">
        <v>0.73639092957822683</v>
      </c>
      <c r="O97" s="1">
        <v>120.83034189340572</v>
      </c>
      <c r="P97" s="1">
        <v>1.0305683280225519</v>
      </c>
      <c r="Q97" s="1">
        <v>50.741335744455974</v>
      </c>
      <c r="R97" s="1">
        <v>0.77505565528977927</v>
      </c>
      <c r="S97" s="1">
        <v>110.38798636394478</v>
      </c>
      <c r="T97" s="1">
        <v>0.95323771147676561</v>
      </c>
      <c r="U97" s="1">
        <v>50.072527276006774</v>
      </c>
      <c r="V97" s="1">
        <v>0.92053739661526512</v>
      </c>
      <c r="W97" s="1">
        <v>133.18199833686319</v>
      </c>
      <c r="X97" s="1">
        <v>1.0622171211785376</v>
      </c>
      <c r="Y97" s="1">
        <v>52.728527320208435</v>
      </c>
      <c r="Z97" s="1">
        <v>0.61668712407906823</v>
      </c>
      <c r="AA97" s="1">
        <v>111.42882484304808</v>
      </c>
      <c r="AB97" s="1">
        <v>0.75426453629546997</v>
      </c>
      <c r="AC97" s="1">
        <v>41.5584292989384</v>
      </c>
    </row>
    <row r="98" spans="1:29" x14ac:dyDescent="0.2">
      <c r="A98" s="1" t="s">
        <v>380</v>
      </c>
      <c r="B98" s="1" t="str">
        <f t="shared" ca="1" si="1"/>
        <v>Open</v>
      </c>
      <c r="C98" s="1" t="s">
        <v>2770</v>
      </c>
      <c r="D98" s="1" t="s">
        <v>381</v>
      </c>
      <c r="E98" s="1" t="s">
        <v>382</v>
      </c>
      <c r="F98" s="1" t="s">
        <v>48</v>
      </c>
      <c r="G98" s="1" t="s">
        <v>383</v>
      </c>
      <c r="H98" s="24">
        <v>44109</v>
      </c>
      <c r="I98" s="1"/>
      <c r="J98" s="1">
        <v>47.919198999999999</v>
      </c>
      <c r="K98" s="1">
        <v>106.9633</v>
      </c>
      <c r="L98" s="20">
        <v>0.29166666666666669</v>
      </c>
      <c r="M98" s="20">
        <v>0.99930555555555556</v>
      </c>
      <c r="N98" s="1">
        <v>0.54280389713107324</v>
      </c>
      <c r="O98" s="1">
        <v>88.214585792972457</v>
      </c>
      <c r="P98" s="1">
        <v>1.1759902428383511</v>
      </c>
      <c r="Q98" s="1">
        <v>62.138408602150541</v>
      </c>
      <c r="R98" s="1">
        <v>0.51629383061680889</v>
      </c>
      <c r="S98" s="1">
        <v>69.274233143399798</v>
      </c>
      <c r="T98" s="1">
        <v>0.96776841091720422</v>
      </c>
      <c r="U98" s="1">
        <v>59.709473835125436</v>
      </c>
      <c r="V98" s="1">
        <v>0.51933548692885101</v>
      </c>
      <c r="W98" s="1">
        <v>86.648405641025647</v>
      </c>
      <c r="X98" s="1">
        <v>1.1381079559867386</v>
      </c>
      <c r="Y98" s="1">
        <v>57.678882078853043</v>
      </c>
      <c r="Z98" s="1">
        <v>0.40102104573000535</v>
      </c>
      <c r="AA98" s="1">
        <v>78.717275899087497</v>
      </c>
      <c r="AB98" s="1">
        <v>0.85620472906490031</v>
      </c>
      <c r="AC98" s="1">
        <v>42.279421658986166</v>
      </c>
    </row>
    <row r="99" spans="1:29" x14ac:dyDescent="0.2">
      <c r="A99" s="1" t="s">
        <v>384</v>
      </c>
      <c r="B99" s="1" t="str">
        <f t="shared" ca="1" si="1"/>
        <v>Open</v>
      </c>
      <c r="C99" s="1" t="s">
        <v>2770</v>
      </c>
      <c r="D99" s="1" t="s">
        <v>385</v>
      </c>
      <c r="E99" s="1" t="s">
        <v>386</v>
      </c>
      <c r="F99" s="1" t="s">
        <v>33</v>
      </c>
      <c r="G99" s="1" t="s">
        <v>387</v>
      </c>
      <c r="H99" s="24">
        <v>44110</v>
      </c>
      <c r="I99" s="1"/>
      <c r="J99" s="1">
        <v>47.921080000000003</v>
      </c>
      <c r="K99" s="1">
        <v>106.913329</v>
      </c>
      <c r="L99" s="20">
        <v>0.29166666666666669</v>
      </c>
      <c r="M99" s="20">
        <v>0.99930555555555556</v>
      </c>
      <c r="N99" s="1">
        <v>0.75565674962759732</v>
      </c>
      <c r="O99" s="1">
        <v>128.59210584995253</v>
      </c>
      <c r="P99" s="1">
        <v>0.89625309073584247</v>
      </c>
      <c r="Q99" s="1">
        <v>47.793321505376348</v>
      </c>
      <c r="R99" s="1">
        <v>0.78650244671747382</v>
      </c>
      <c r="S99" s="1">
        <v>128.09508167141502</v>
      </c>
      <c r="T99" s="1">
        <v>0.94601234938817191</v>
      </c>
      <c r="U99" s="1">
        <v>46.811204659498195</v>
      </c>
      <c r="V99" s="1">
        <v>0.73953597256566006</v>
      </c>
      <c r="W99" s="1">
        <v>113.22931416904085</v>
      </c>
      <c r="X99" s="1">
        <v>0.79086476993763422</v>
      </c>
      <c r="Y99" s="1">
        <v>41.484760931899636</v>
      </c>
      <c r="Z99" s="1">
        <v>0.62843734506011806</v>
      </c>
      <c r="AA99" s="1">
        <v>118.52315244229736</v>
      </c>
      <c r="AB99" s="1">
        <v>0.67781478137980022</v>
      </c>
      <c r="AC99" s="1">
        <v>46.299659370199691</v>
      </c>
    </row>
    <row r="100" spans="1:29" x14ac:dyDescent="0.2">
      <c r="A100" s="1" t="s">
        <v>388</v>
      </c>
      <c r="B100" s="1" t="str">
        <f t="shared" ca="1" si="1"/>
        <v>Open</v>
      </c>
      <c r="C100" s="1" t="s">
        <v>2770</v>
      </c>
      <c r="D100" s="1" t="s">
        <v>389</v>
      </c>
      <c r="E100" s="1" t="s">
        <v>390</v>
      </c>
      <c r="F100" s="1" t="s">
        <v>28</v>
      </c>
      <c r="G100" s="1" t="s">
        <v>391</v>
      </c>
      <c r="H100" s="24">
        <v>44117</v>
      </c>
      <c r="I100" s="1"/>
      <c r="J100" s="1">
        <v>47.915123000000001</v>
      </c>
      <c r="K100" s="1">
        <v>106.88669400000001</v>
      </c>
      <c r="L100" s="20">
        <v>0.29166666666666669</v>
      </c>
      <c r="M100" s="20">
        <v>0.91666666666666663</v>
      </c>
      <c r="N100" s="1">
        <v>0.70290798557006651</v>
      </c>
      <c r="O100" s="1">
        <v>120.64017652421653</v>
      </c>
      <c r="P100" s="1">
        <v>1.246889278409677</v>
      </c>
      <c r="Q100" s="1">
        <v>49.844379211469523</v>
      </c>
      <c r="R100" s="1">
        <v>0.68192648715432103</v>
      </c>
      <c r="S100" s="1">
        <v>103.77547483380818</v>
      </c>
      <c r="T100" s="1">
        <v>0.78857094490215041</v>
      </c>
      <c r="U100" s="1">
        <v>47.15293333333333</v>
      </c>
      <c r="V100" s="1">
        <v>0.86184683057394107</v>
      </c>
      <c r="W100" s="1">
        <v>136.33395200379866</v>
      </c>
      <c r="X100" s="1">
        <v>1.3012143938344085</v>
      </c>
      <c r="Y100" s="1">
        <v>51.607663799283138</v>
      </c>
      <c r="Z100" s="1">
        <v>0.48775288630669272</v>
      </c>
      <c r="AA100" s="1">
        <v>103.01047888239115</v>
      </c>
      <c r="AB100" s="1">
        <v>0.58706690564740149</v>
      </c>
      <c r="AC100" s="1">
        <v>36.074605734767033</v>
      </c>
    </row>
    <row r="101" spans="1:29" x14ac:dyDescent="0.2">
      <c r="A101" s="1" t="s">
        <v>392</v>
      </c>
      <c r="B101" s="1" t="str">
        <f t="shared" ca="1" si="1"/>
        <v>Open</v>
      </c>
      <c r="C101" s="1" t="s">
        <v>2770</v>
      </c>
      <c r="D101" s="1" t="s">
        <v>393</v>
      </c>
      <c r="E101" s="1" t="s">
        <v>394</v>
      </c>
      <c r="F101" s="1" t="s">
        <v>64</v>
      </c>
      <c r="G101" s="1" t="s">
        <v>395</v>
      </c>
      <c r="H101" s="24">
        <v>44127</v>
      </c>
      <c r="I101" s="1"/>
      <c r="J101" s="1">
        <v>47.877744</v>
      </c>
      <c r="K101" s="1">
        <v>106.84871099999999</v>
      </c>
      <c r="L101" s="20">
        <v>0.29166666666666669</v>
      </c>
      <c r="M101" s="20">
        <v>0.99930555555555556</v>
      </c>
      <c r="N101" s="1">
        <v>0.39166479096626783</v>
      </c>
      <c r="O101" s="1">
        <v>56.830973694207024</v>
      </c>
      <c r="P101" s="1">
        <v>1.2356144576663084</v>
      </c>
      <c r="Q101" s="1">
        <v>36.143542652329749</v>
      </c>
      <c r="R101" s="1">
        <v>0.42756763259069325</v>
      </c>
      <c r="S101" s="1">
        <v>54.633007597340928</v>
      </c>
      <c r="T101" s="1">
        <v>0.89337748081720469</v>
      </c>
      <c r="U101" s="1">
        <v>36.240256989247314</v>
      </c>
      <c r="V101" s="1">
        <v>0.4800140637284141</v>
      </c>
      <c r="W101" s="1">
        <v>63.459931718898389</v>
      </c>
      <c r="X101" s="1">
        <v>0.99757195101684548</v>
      </c>
      <c r="Y101" s="1">
        <v>40.148131182795687</v>
      </c>
      <c r="Z101" s="1">
        <v>0.25438230507836823</v>
      </c>
      <c r="AA101" s="1">
        <v>45.001828770799783</v>
      </c>
      <c r="AB101" s="1">
        <v>0.55273525113210453</v>
      </c>
      <c r="AC101" s="1">
        <v>27.258943932411672</v>
      </c>
    </row>
    <row r="102" spans="1:29" x14ac:dyDescent="0.2">
      <c r="A102" s="1" t="s">
        <v>396</v>
      </c>
      <c r="B102" s="1" t="str">
        <f t="shared" ca="1" si="1"/>
        <v>Open</v>
      </c>
      <c r="C102" s="1" t="s">
        <v>2770</v>
      </c>
      <c r="D102" s="1" t="s">
        <v>397</v>
      </c>
      <c r="E102" s="1" t="s">
        <v>398</v>
      </c>
      <c r="F102" s="1" t="s">
        <v>48</v>
      </c>
      <c r="G102" s="1" t="s">
        <v>399</v>
      </c>
      <c r="H102" s="24">
        <v>45987</v>
      </c>
      <c r="I102" s="1"/>
      <c r="J102" s="1">
        <v>47.904308</v>
      </c>
      <c r="K102" s="1">
        <v>106.93288099999999</v>
      </c>
      <c r="L102" s="20">
        <v>0</v>
      </c>
      <c r="M102" s="20">
        <v>0.99930555555555556</v>
      </c>
      <c r="N102" s="1">
        <v>0.66889063791253278</v>
      </c>
      <c r="O102" s="1">
        <v>94.819680143116059</v>
      </c>
      <c r="P102" s="1">
        <v>1.0115995251206573</v>
      </c>
      <c r="Q102" s="1">
        <v>60.166764028507096</v>
      </c>
      <c r="R102" s="1">
        <v>0.76709924866364076</v>
      </c>
      <c r="S102" s="1">
        <v>115.87087779188602</v>
      </c>
      <c r="T102" s="1">
        <v>0.99795013723939485</v>
      </c>
      <c r="U102" s="1">
        <v>52.83780837501471</v>
      </c>
      <c r="V102" s="1">
        <v>0.92053739661526512</v>
      </c>
      <c r="W102" s="1">
        <v>133.18199833686319</v>
      </c>
      <c r="X102" s="1">
        <v>1.0622171211785376</v>
      </c>
      <c r="Y102" s="1">
        <v>52.728527320208435</v>
      </c>
      <c r="Z102" s="1">
        <v>0.48579957314653788</v>
      </c>
      <c r="AA102" s="1">
        <v>86.305914653784228</v>
      </c>
      <c r="AB102" s="1">
        <v>0.89182804144124439</v>
      </c>
      <c r="AC102" s="1">
        <v>53.481806451612918</v>
      </c>
    </row>
    <row r="103" spans="1:29" x14ac:dyDescent="0.2">
      <c r="A103" s="1" t="s">
        <v>400</v>
      </c>
      <c r="B103" s="1" t="str">
        <f t="shared" ca="1" si="1"/>
        <v>Open</v>
      </c>
      <c r="C103" s="1" t="s">
        <v>2770</v>
      </c>
      <c r="D103" s="1" t="s">
        <v>401</v>
      </c>
      <c r="E103" s="1" t="s">
        <v>402</v>
      </c>
      <c r="F103" s="1" t="s">
        <v>64</v>
      </c>
      <c r="G103" s="1" t="s">
        <v>403</v>
      </c>
      <c r="H103" s="24">
        <v>44135</v>
      </c>
      <c r="I103" s="1"/>
      <c r="J103" s="1">
        <v>47.900190000000002</v>
      </c>
      <c r="K103" s="1">
        <v>106.901934</v>
      </c>
      <c r="L103" s="20">
        <v>0</v>
      </c>
      <c r="M103" s="20">
        <v>0.99930555555555556</v>
      </c>
      <c r="N103" s="1">
        <v>0.77705435138402656</v>
      </c>
      <c r="O103" s="1">
        <v>150.92224182336182</v>
      </c>
      <c r="P103" s="1">
        <v>1.6151098023415773</v>
      </c>
      <c r="Q103" s="1">
        <v>62.850173835125439</v>
      </c>
      <c r="R103" s="1">
        <v>0.79986000053846151</v>
      </c>
      <c r="S103" s="1">
        <v>132.17455128205131</v>
      </c>
      <c r="T103" s="1">
        <v>1.1565227676422942</v>
      </c>
      <c r="U103" s="1">
        <v>61.896926523297488</v>
      </c>
      <c r="V103" s="1">
        <v>0.84420568595264955</v>
      </c>
      <c r="W103" s="1">
        <v>138.71909445394115</v>
      </c>
      <c r="X103" s="1">
        <v>0.99759081800967764</v>
      </c>
      <c r="Y103" s="1">
        <v>56.22741254480286</v>
      </c>
      <c r="Z103" s="1">
        <v>0.69051614117069249</v>
      </c>
      <c r="AA103" s="1">
        <v>143.50138432635535</v>
      </c>
      <c r="AB103" s="1">
        <v>1.4866815928033794</v>
      </c>
      <c r="AC103" s="1">
        <v>48.626788018433182</v>
      </c>
    </row>
    <row r="104" spans="1:29" x14ac:dyDescent="0.2">
      <c r="A104" s="1" t="s">
        <v>404</v>
      </c>
      <c r="B104" s="1" t="str">
        <f t="shared" ca="1" si="1"/>
        <v>Closed</v>
      </c>
      <c r="C104" s="1" t="s">
        <v>2770</v>
      </c>
      <c r="D104" s="1" t="s">
        <v>405</v>
      </c>
      <c r="E104" s="1" t="s">
        <v>406</v>
      </c>
      <c r="F104" s="1" t="s">
        <v>64</v>
      </c>
      <c r="G104" s="1" t="s">
        <v>407</v>
      </c>
      <c r="H104" s="24">
        <v>44126</v>
      </c>
      <c r="I104" s="24">
        <v>45752</v>
      </c>
      <c r="J104" s="1">
        <v>47.880653000000002</v>
      </c>
      <c r="K104" s="1">
        <v>106.85485</v>
      </c>
      <c r="L104" s="20">
        <v>0.29166666666666669</v>
      </c>
      <c r="M104" s="20">
        <v>0.99930555555555556</v>
      </c>
      <c r="N104" s="1">
        <v>0.73639092957822683</v>
      </c>
      <c r="O104" s="1">
        <v>120.83034189340572</v>
      </c>
      <c r="P104" s="1">
        <v>1.0305683280225519</v>
      </c>
      <c r="Q104" s="1">
        <v>50.741335744455974</v>
      </c>
      <c r="R104" s="1">
        <v>0.77505565528977927</v>
      </c>
      <c r="S104" s="1">
        <v>110.38798636394478</v>
      </c>
      <c r="T104" s="1">
        <v>0.67098224499980519</v>
      </c>
      <c r="U104" s="1">
        <v>38.634076724384272</v>
      </c>
      <c r="V104" s="1">
        <v>0.92053739661526512</v>
      </c>
      <c r="W104" s="1">
        <v>133.18199833686319</v>
      </c>
      <c r="X104" s="1">
        <v>1.0622171211785376</v>
      </c>
      <c r="Y104" s="1">
        <v>52.728527320208435</v>
      </c>
      <c r="Z104" s="1">
        <v>0.61668712407906823</v>
      </c>
      <c r="AA104" s="1">
        <v>111.42882484304808</v>
      </c>
      <c r="AB104" s="1">
        <v>0.75426453629546997</v>
      </c>
      <c r="AC104" s="1">
        <v>41.5584292989384</v>
      </c>
    </row>
    <row r="105" spans="1:29" x14ac:dyDescent="0.2">
      <c r="A105" s="1" t="s">
        <v>408</v>
      </c>
      <c r="B105" s="1" t="str">
        <f t="shared" ca="1" si="1"/>
        <v>Open</v>
      </c>
      <c r="C105" s="1" t="s">
        <v>2770</v>
      </c>
      <c r="D105" s="1" t="s">
        <v>409</v>
      </c>
      <c r="E105" s="1" t="s">
        <v>410</v>
      </c>
      <c r="F105" s="1" t="s">
        <v>28</v>
      </c>
      <c r="G105" s="1" t="s">
        <v>411</v>
      </c>
      <c r="H105" s="24">
        <v>44141</v>
      </c>
      <c r="I105" s="1"/>
      <c r="J105" s="1">
        <v>47.915168000000001</v>
      </c>
      <c r="K105" s="1">
        <v>106.860103</v>
      </c>
      <c r="L105" s="20">
        <v>0</v>
      </c>
      <c r="M105" s="20">
        <v>0.99930555555555556</v>
      </c>
      <c r="N105" s="1">
        <v>0.75285407232140533</v>
      </c>
      <c r="O105" s="1">
        <v>116.44386233618235</v>
      </c>
      <c r="P105" s="1">
        <v>1.1951619905100361</v>
      </c>
      <c r="Q105" s="1">
        <v>65.926048028673819</v>
      </c>
      <c r="R105" s="1">
        <v>0.72225012756267803</v>
      </c>
      <c r="S105" s="1">
        <v>98.123320037986687</v>
      </c>
      <c r="T105" s="1">
        <v>1.244274886551971</v>
      </c>
      <c r="U105" s="1">
        <v>61.071741935483857</v>
      </c>
      <c r="V105" s="1">
        <v>0.63831512279751179</v>
      </c>
      <c r="W105" s="1">
        <v>86.603452820512828</v>
      </c>
      <c r="X105" s="1">
        <v>0.94214307835161293</v>
      </c>
      <c r="Y105" s="1">
        <v>51.960722939068098</v>
      </c>
      <c r="Z105" s="1">
        <v>0.63939403562050456</v>
      </c>
      <c r="AA105" s="1">
        <v>115.73006977992485</v>
      </c>
      <c r="AB105" s="1">
        <v>0.86409610414572458</v>
      </c>
      <c r="AC105" s="1">
        <v>44.661829493087566</v>
      </c>
    </row>
    <row r="106" spans="1:29" x14ac:dyDescent="0.2">
      <c r="A106" s="1" t="s">
        <v>412</v>
      </c>
      <c r="B106" s="1" t="str">
        <f t="shared" ca="1" si="1"/>
        <v>Open</v>
      </c>
      <c r="C106" s="1" t="s">
        <v>2770</v>
      </c>
      <c r="D106" s="1" t="s">
        <v>413</v>
      </c>
      <c r="E106" s="1" t="s">
        <v>414</v>
      </c>
      <c r="F106" s="1" t="s">
        <v>48</v>
      </c>
      <c r="G106" s="1" t="s">
        <v>415</v>
      </c>
      <c r="H106" s="24">
        <v>44135</v>
      </c>
      <c r="I106" s="1"/>
      <c r="J106" s="1">
        <v>47.918556000000002</v>
      </c>
      <c r="K106" s="1">
        <v>106.98804199999999</v>
      </c>
      <c r="L106" s="20">
        <v>0</v>
      </c>
      <c r="M106" s="20">
        <v>0.99930555555555556</v>
      </c>
      <c r="N106" s="1">
        <v>1.2395635998129915</v>
      </c>
      <c r="O106" s="1">
        <v>194.65339794871798</v>
      </c>
      <c r="P106" s="1">
        <v>1.1507024080745516</v>
      </c>
      <c r="Q106" s="1">
        <v>74.206445161290318</v>
      </c>
      <c r="R106" s="1">
        <v>1.4809274506177588</v>
      </c>
      <c r="S106" s="1">
        <v>203.32817188983859</v>
      </c>
      <c r="T106" s="1">
        <v>1.249047718899283</v>
      </c>
      <c r="U106" s="1">
        <v>83.732796415770594</v>
      </c>
      <c r="V106" s="1">
        <v>1.4721786489951185</v>
      </c>
      <c r="W106" s="1">
        <v>216.49013432098764</v>
      </c>
      <c r="X106" s="1">
        <v>1.4101874723114698</v>
      </c>
      <c r="Y106" s="1">
        <v>78.812130465949835</v>
      </c>
      <c r="Z106" s="1">
        <v>1.1234620722785831</v>
      </c>
      <c r="AA106" s="1">
        <v>195.0011304347826</v>
      </c>
      <c r="AB106" s="1">
        <v>0.9555355408544548</v>
      </c>
      <c r="AC106" s="1">
        <v>66.665183563748087</v>
      </c>
    </row>
    <row r="107" spans="1:29" x14ac:dyDescent="0.2">
      <c r="A107" s="1" t="s">
        <v>416</v>
      </c>
      <c r="B107" s="1" t="str">
        <f t="shared" ca="1" si="1"/>
        <v>Open</v>
      </c>
      <c r="C107" s="1" t="s">
        <v>2770</v>
      </c>
      <c r="D107" s="1" t="s">
        <v>417</v>
      </c>
      <c r="E107" s="1" t="s">
        <v>418</v>
      </c>
      <c r="F107" s="1" t="s">
        <v>11</v>
      </c>
      <c r="G107" s="1" t="s">
        <v>419</v>
      </c>
      <c r="H107" s="24">
        <v>44188</v>
      </c>
      <c r="I107" s="1"/>
      <c r="J107" s="1">
        <v>47.912858999999997</v>
      </c>
      <c r="K107" s="1">
        <v>106.895183</v>
      </c>
      <c r="L107" s="20">
        <v>0</v>
      </c>
      <c r="M107" s="20">
        <v>0.99930555555555556</v>
      </c>
      <c r="N107" s="1">
        <v>0.95658085230060219</v>
      </c>
      <c r="O107" s="1">
        <v>173.38769250194252</v>
      </c>
      <c r="P107" s="1">
        <v>1.9742396770741937</v>
      </c>
      <c r="Q107" s="1">
        <v>73.830961648745514</v>
      </c>
      <c r="R107" s="1">
        <v>0.91713123135674479</v>
      </c>
      <c r="S107" s="1">
        <v>141.80328874024522</v>
      </c>
      <c r="T107" s="1">
        <v>1.4325060223422941</v>
      </c>
      <c r="U107" s="1">
        <v>67.168258064516124</v>
      </c>
      <c r="V107" s="1">
        <v>1.0179579618513579</v>
      </c>
      <c r="W107" s="1">
        <v>160.21079308641973</v>
      </c>
      <c r="X107" s="1">
        <v>1.4501594206089603</v>
      </c>
      <c r="Y107" s="1">
        <v>62.852429032258051</v>
      </c>
      <c r="Z107" s="1">
        <v>0.8083956143622224</v>
      </c>
      <c r="AA107" s="1">
        <v>158.72332765432097</v>
      </c>
      <c r="AB107" s="1">
        <v>1.0373088886881721</v>
      </c>
      <c r="AC107" s="1">
        <v>50.013159370199695</v>
      </c>
    </row>
    <row r="108" spans="1:29" x14ac:dyDescent="0.2">
      <c r="A108" s="1" t="s">
        <v>420</v>
      </c>
      <c r="B108" s="1" t="str">
        <f t="shared" ca="1" si="1"/>
        <v>Open</v>
      </c>
      <c r="C108" s="1" t="s">
        <v>2770</v>
      </c>
      <c r="D108" s="1" t="s">
        <v>421</v>
      </c>
      <c r="E108" s="1" t="s">
        <v>422</v>
      </c>
      <c r="F108" s="1" t="s">
        <v>28</v>
      </c>
      <c r="G108" s="1" t="s">
        <v>423</v>
      </c>
      <c r="H108" s="24">
        <v>44266</v>
      </c>
      <c r="I108" s="1"/>
      <c r="J108" s="1">
        <v>47.909652000000001</v>
      </c>
      <c r="K108" s="1">
        <v>106.88789300000001</v>
      </c>
      <c r="L108" s="20">
        <v>0</v>
      </c>
      <c r="M108" s="20">
        <v>0.99930555555555556</v>
      </c>
      <c r="N108" s="1">
        <v>0.63813559620085469</v>
      </c>
      <c r="O108" s="1">
        <v>106.9806570940171</v>
      </c>
      <c r="P108" s="1">
        <v>0.70819608592176497</v>
      </c>
      <c r="Q108" s="1">
        <v>34.75386466444197</v>
      </c>
      <c r="R108" s="1">
        <v>0.58371662390123447</v>
      </c>
      <c r="S108" s="1">
        <v>88.151876068376069</v>
      </c>
      <c r="T108" s="1">
        <v>0.70654822798996431</v>
      </c>
      <c r="U108" s="1">
        <v>34.693713261648753</v>
      </c>
      <c r="V108" s="1">
        <v>0.73638927509487184</v>
      </c>
      <c r="W108" s="1">
        <v>106.98613481481482</v>
      </c>
      <c r="X108" s="1">
        <v>1.0175506702555555</v>
      </c>
      <c r="Y108" s="1">
        <v>39.292252329749097</v>
      </c>
      <c r="Z108" s="1">
        <v>0.51302615606387547</v>
      </c>
      <c r="AA108" s="1">
        <v>97.348036500268393</v>
      </c>
      <c r="AB108" s="1">
        <v>0.54833939124807995</v>
      </c>
      <c r="AC108" s="1">
        <v>31.285417434715821</v>
      </c>
    </row>
    <row r="109" spans="1:29" x14ac:dyDescent="0.2">
      <c r="A109" s="1" t="s">
        <v>424</v>
      </c>
      <c r="B109" s="1" t="str">
        <f t="shared" ca="1" si="1"/>
        <v>Open</v>
      </c>
      <c r="C109" s="1" t="s">
        <v>2770</v>
      </c>
      <c r="D109" s="1" t="s">
        <v>425</v>
      </c>
      <c r="E109" s="1" t="s">
        <v>426</v>
      </c>
      <c r="F109" s="1" t="s">
        <v>33</v>
      </c>
      <c r="G109" s="1" t="s">
        <v>427</v>
      </c>
      <c r="H109" s="24">
        <v>44267</v>
      </c>
      <c r="I109" s="1"/>
      <c r="J109" s="1">
        <v>47.916721000000003</v>
      </c>
      <c r="K109" s="1">
        <v>106.91024299999999</v>
      </c>
      <c r="L109" s="20">
        <v>0.29166666666666669</v>
      </c>
      <c r="M109" s="20">
        <v>0.99930555555555556</v>
      </c>
      <c r="N109" s="1">
        <v>0.66623606880125352</v>
      </c>
      <c r="O109" s="1">
        <v>105.43863213675213</v>
      </c>
      <c r="P109" s="1">
        <v>0.777297059214337</v>
      </c>
      <c r="Q109" s="1">
        <v>49.44528602150536</v>
      </c>
      <c r="R109" s="1">
        <v>0.79795286841120605</v>
      </c>
      <c r="S109" s="1">
        <v>124.27931101614433</v>
      </c>
      <c r="T109" s="1">
        <v>0.84016662165842282</v>
      </c>
      <c r="U109" s="1">
        <v>56.346152329749124</v>
      </c>
      <c r="V109" s="1">
        <v>0.87471026331817681</v>
      </c>
      <c r="W109" s="1">
        <v>141.35897952516621</v>
      </c>
      <c r="X109" s="1">
        <v>0.87809163742007179</v>
      </c>
      <c r="Y109" s="1">
        <v>53.279139426523301</v>
      </c>
      <c r="Z109" s="1">
        <v>0.55447650288083727</v>
      </c>
      <c r="AA109" s="1">
        <v>95.845803542673096</v>
      </c>
      <c r="AB109" s="1">
        <v>0.58718647447772654</v>
      </c>
      <c r="AC109" s="1">
        <v>45.011043778801842</v>
      </c>
    </row>
    <row r="110" spans="1:29" x14ac:dyDescent="0.2">
      <c r="A110" s="1" t="s">
        <v>428</v>
      </c>
      <c r="B110" s="1" t="str">
        <f t="shared" ca="1" si="1"/>
        <v>Open</v>
      </c>
      <c r="C110" s="1" t="s">
        <v>2770</v>
      </c>
      <c r="D110" s="1" t="s">
        <v>429</v>
      </c>
      <c r="E110" s="1" t="s">
        <v>430</v>
      </c>
      <c r="F110" s="1" t="s">
        <v>28</v>
      </c>
      <c r="G110" s="1" t="s">
        <v>431</v>
      </c>
      <c r="H110" s="24">
        <v>44359</v>
      </c>
      <c r="I110" s="1"/>
      <c r="J110" s="1">
        <v>47.920050000000003</v>
      </c>
      <c r="K110" s="1">
        <v>106.874923</v>
      </c>
      <c r="L110" s="20">
        <v>0</v>
      </c>
      <c r="M110" s="20">
        <v>0.99930555555555556</v>
      </c>
      <c r="N110" s="1">
        <v>0.50519458683179497</v>
      </c>
      <c r="O110" s="1">
        <v>84.968353029439697</v>
      </c>
      <c r="P110" s="1">
        <v>1.1966741293397849</v>
      </c>
      <c r="Q110" s="1">
        <v>41.575364874551958</v>
      </c>
      <c r="R110" s="1">
        <v>0.49546295067758789</v>
      </c>
      <c r="S110" s="1">
        <v>76.412842355175698</v>
      </c>
      <c r="T110" s="1">
        <v>0.91273668540107522</v>
      </c>
      <c r="U110" s="1">
        <v>40.744196057347686</v>
      </c>
      <c r="V110" s="1">
        <v>0.59526689042282999</v>
      </c>
      <c r="W110" s="1">
        <v>89.443908831908814</v>
      </c>
      <c r="X110" s="1">
        <v>0.85443730534587781</v>
      </c>
      <c r="Y110" s="1">
        <v>40.022160573476697</v>
      </c>
      <c r="Z110" s="1">
        <v>0.48927747455716597</v>
      </c>
      <c r="AA110" s="1">
        <v>93.53384165324745</v>
      </c>
      <c r="AB110" s="1">
        <v>0.70024186513632891</v>
      </c>
      <c r="AC110" s="1">
        <v>37.99885714285714</v>
      </c>
    </row>
    <row r="111" spans="1:29" x14ac:dyDescent="0.2">
      <c r="A111" s="1" t="s">
        <v>432</v>
      </c>
      <c r="B111" s="1" t="str">
        <f t="shared" ca="1" si="1"/>
        <v>Open</v>
      </c>
      <c r="C111" s="1" t="s">
        <v>2770</v>
      </c>
      <c r="D111" s="1" t="s">
        <v>433</v>
      </c>
      <c r="E111" s="1" t="s">
        <v>434</v>
      </c>
      <c r="F111" s="1" t="s">
        <v>11</v>
      </c>
      <c r="G111" s="1" t="s">
        <v>2649</v>
      </c>
      <c r="H111" s="24">
        <v>44220</v>
      </c>
      <c r="I111" s="1"/>
      <c r="J111" s="1">
        <v>47.926867000000001</v>
      </c>
      <c r="K111" s="1">
        <v>106.91483100000001</v>
      </c>
      <c r="L111" s="20">
        <v>0</v>
      </c>
      <c r="M111" s="20">
        <v>0.99930555555555556</v>
      </c>
      <c r="N111" s="1">
        <v>0.8594654113101613</v>
      </c>
      <c r="O111" s="1">
        <v>163.95361891737889</v>
      </c>
      <c r="P111" s="1">
        <v>2.1365690577835124</v>
      </c>
      <c r="Q111" s="1">
        <v>65.45557168458781</v>
      </c>
      <c r="R111" s="1">
        <v>0.90255780560683763</v>
      </c>
      <c r="S111" s="1">
        <v>142.81052469135801</v>
      </c>
      <c r="T111" s="1">
        <v>1.9223538406759857</v>
      </c>
      <c r="U111" s="1">
        <v>65.931372043010754</v>
      </c>
      <c r="V111" s="1">
        <v>1.0182883046814055</v>
      </c>
      <c r="W111" s="1">
        <v>182.42775255460592</v>
      </c>
      <c r="X111" s="1">
        <v>1.8550076527534054</v>
      </c>
      <c r="Y111" s="1">
        <v>60.379596774193537</v>
      </c>
      <c r="Z111" s="1">
        <v>0.77577620218786902</v>
      </c>
      <c r="AA111" s="1">
        <v>158.02517713365538</v>
      </c>
      <c r="AB111" s="1">
        <v>1.3848894971355605</v>
      </c>
      <c r="AC111" s="1">
        <v>59.225626344086017</v>
      </c>
    </row>
    <row r="112" spans="1:29" x14ac:dyDescent="0.2">
      <c r="A112" s="1" t="s">
        <v>435</v>
      </c>
      <c r="B112" s="1" t="str">
        <f t="shared" ca="1" si="1"/>
        <v>Open</v>
      </c>
      <c r="C112" s="1" t="s">
        <v>2770</v>
      </c>
      <c r="D112" s="1" t="s">
        <v>436</v>
      </c>
      <c r="E112" s="1" t="s">
        <v>437</v>
      </c>
      <c r="F112" s="1" t="s">
        <v>48</v>
      </c>
      <c r="G112" s="1" t="s">
        <v>438</v>
      </c>
      <c r="H112" s="24">
        <v>44226</v>
      </c>
      <c r="I112" s="1"/>
      <c r="J112" s="1">
        <v>47.915864999999997</v>
      </c>
      <c r="K112" s="1">
        <v>106.96503300000001</v>
      </c>
      <c r="L112" s="20">
        <v>0</v>
      </c>
      <c r="M112" s="20">
        <v>0.99930555555555556</v>
      </c>
      <c r="N112" s="1">
        <v>1.0755446873146439</v>
      </c>
      <c r="O112" s="1">
        <v>173.8397124406458</v>
      </c>
      <c r="P112" s="1">
        <v>1.1402931692541218</v>
      </c>
      <c r="Q112" s="1">
        <v>80.393781003584238</v>
      </c>
      <c r="R112" s="1">
        <v>1.1899238508504273</v>
      </c>
      <c r="S112" s="1">
        <v>169.13701804368472</v>
      </c>
      <c r="T112" s="1">
        <v>1.1156510635813619</v>
      </c>
      <c r="U112" s="1">
        <v>77.840570609318988</v>
      </c>
      <c r="V112" s="1">
        <v>1.2698055627831721</v>
      </c>
      <c r="W112" s="1">
        <v>193.1705041215574</v>
      </c>
      <c r="X112" s="1">
        <v>1.1581953395222222</v>
      </c>
      <c r="Y112" s="1">
        <v>75.302815412186405</v>
      </c>
      <c r="Z112" s="1">
        <v>0.91151960162570145</v>
      </c>
      <c r="AA112" s="1">
        <v>160.60636307519641</v>
      </c>
      <c r="AB112" s="1">
        <v>0.82244812948546375</v>
      </c>
      <c r="AC112" s="1">
        <v>65.975500199123829</v>
      </c>
    </row>
    <row r="113" spans="1:29" x14ac:dyDescent="0.2">
      <c r="A113" s="1" t="s">
        <v>439</v>
      </c>
      <c r="B113" s="1" t="str">
        <f t="shared" ca="1" si="1"/>
        <v>Open</v>
      </c>
      <c r="C113" s="1" t="s">
        <v>2770</v>
      </c>
      <c r="D113" s="1" t="s">
        <v>440</v>
      </c>
      <c r="E113" s="1" t="s">
        <v>441</v>
      </c>
      <c r="F113" s="1" t="s">
        <v>48</v>
      </c>
      <c r="G113" s="1" t="s">
        <v>442</v>
      </c>
      <c r="H113" s="24">
        <v>44286</v>
      </c>
      <c r="I113" s="1"/>
      <c r="J113" s="1">
        <v>47.924936000000002</v>
      </c>
      <c r="K113" s="1">
        <v>106.935849</v>
      </c>
      <c r="L113" s="20">
        <v>0.29166666666666669</v>
      </c>
      <c r="M113" s="20">
        <v>0.99930555555555556</v>
      </c>
      <c r="N113" s="1">
        <v>0.89805513944801518</v>
      </c>
      <c r="O113" s="1">
        <v>150.65322664767334</v>
      </c>
      <c r="P113" s="1">
        <v>1.6326920593910392</v>
      </c>
      <c r="Q113" s="1">
        <v>82.672537275985675</v>
      </c>
      <c r="R113" s="1">
        <v>0.89085253367473882</v>
      </c>
      <c r="S113" s="1">
        <v>139.63690265906931</v>
      </c>
      <c r="T113" s="1">
        <v>1.3736332692250892</v>
      </c>
      <c r="U113" s="1">
        <v>76.667616845878129</v>
      </c>
      <c r="V113" s="1">
        <v>0.77931591319019944</v>
      </c>
      <c r="W113" s="1">
        <v>122.64881065527065</v>
      </c>
      <c r="X113" s="1">
        <v>0.99405943384982065</v>
      </c>
      <c r="Y113" s="1">
        <v>54.035560215053778</v>
      </c>
      <c r="Z113" s="1">
        <v>0.67509189310037565</v>
      </c>
      <c r="AA113" s="1">
        <v>124.74781803542673</v>
      </c>
      <c r="AB113" s="1">
        <v>1.3121968286109829</v>
      </c>
      <c r="AC113" s="1">
        <v>50.272491551459296</v>
      </c>
    </row>
    <row r="114" spans="1:29" x14ac:dyDescent="0.2">
      <c r="A114" s="1" t="s">
        <v>443</v>
      </c>
      <c r="B114" s="1" t="str">
        <f t="shared" ca="1" si="1"/>
        <v>Open</v>
      </c>
      <c r="C114" s="1" t="s">
        <v>2770</v>
      </c>
      <c r="D114" s="1" t="s">
        <v>444</v>
      </c>
      <c r="E114" s="1" t="s">
        <v>445</v>
      </c>
      <c r="F114" s="1" t="s">
        <v>48</v>
      </c>
      <c r="G114" s="1" t="s">
        <v>446</v>
      </c>
      <c r="H114" s="24">
        <v>44288</v>
      </c>
      <c r="I114" s="1"/>
      <c r="J114" s="1">
        <v>47.915075000000002</v>
      </c>
      <c r="K114" s="1">
        <v>106.97469700000001</v>
      </c>
      <c r="L114" s="20">
        <v>0.29166666666666669</v>
      </c>
      <c r="M114" s="20">
        <v>0.99930555555555556</v>
      </c>
      <c r="N114" s="1">
        <v>0.41140360479914534</v>
      </c>
      <c r="O114" s="1">
        <v>63.240952635327638</v>
      </c>
      <c r="P114" s="1">
        <v>1.2485567291462365</v>
      </c>
      <c r="Q114" s="1">
        <v>59.48163584229389</v>
      </c>
      <c r="R114" s="1">
        <v>0.45186109703466287</v>
      </c>
      <c r="S114" s="1">
        <v>64.014364197530838</v>
      </c>
      <c r="T114" s="1">
        <v>1.1962891740143371</v>
      </c>
      <c r="U114" s="1">
        <v>60.569162365591403</v>
      </c>
      <c r="V114" s="1">
        <v>0.42209071701931639</v>
      </c>
      <c r="W114" s="1">
        <v>67.458700664767335</v>
      </c>
      <c r="X114" s="1">
        <v>1.0925032851799281</v>
      </c>
      <c r="Y114" s="1">
        <v>48.134132258064518</v>
      </c>
      <c r="Z114" s="1">
        <v>0.21030428549831648</v>
      </c>
      <c r="AA114" s="1">
        <v>37.503290684624027</v>
      </c>
      <c r="AB114" s="1">
        <v>0.66898666619769021</v>
      </c>
      <c r="AC114" s="1">
        <v>36.864794464356827</v>
      </c>
    </row>
    <row r="115" spans="1:29" x14ac:dyDescent="0.2">
      <c r="A115" s="1" t="s">
        <v>447</v>
      </c>
      <c r="B115" s="1" t="str">
        <f t="shared" ca="1" si="1"/>
        <v>Open</v>
      </c>
      <c r="C115" s="1" t="s">
        <v>2770</v>
      </c>
      <c r="D115" s="1" t="s">
        <v>448</v>
      </c>
      <c r="E115" s="1" t="s">
        <v>449</v>
      </c>
      <c r="F115" s="1" t="s">
        <v>11</v>
      </c>
      <c r="G115" s="1" t="s">
        <v>450</v>
      </c>
      <c r="H115" s="24">
        <v>44294</v>
      </c>
      <c r="I115" s="1"/>
      <c r="J115" s="1">
        <v>47.934817000000002</v>
      </c>
      <c r="K115" s="1">
        <v>106.92764099999999</v>
      </c>
      <c r="L115" s="20">
        <v>0</v>
      </c>
      <c r="M115" s="20">
        <v>0.99930555555555556</v>
      </c>
      <c r="N115" s="1">
        <v>0.94164326036079782</v>
      </c>
      <c r="O115" s="1">
        <v>170.31914788224123</v>
      </c>
      <c r="P115" s="1">
        <v>1.0365142104745517</v>
      </c>
      <c r="Q115" s="1">
        <v>57.645829390681001</v>
      </c>
      <c r="R115" s="1">
        <v>1.0199580070403609</v>
      </c>
      <c r="S115" s="1">
        <v>152.92443162393161</v>
      </c>
      <c r="T115" s="1">
        <v>0.90533890672186368</v>
      </c>
      <c r="U115" s="1">
        <v>56.986516129032253</v>
      </c>
      <c r="V115" s="1">
        <v>1.2130588986357262</v>
      </c>
      <c r="W115" s="1">
        <v>184.28966809116807</v>
      </c>
      <c r="X115" s="1">
        <v>1.1987381609329748</v>
      </c>
      <c r="Y115" s="1">
        <v>69.876430107526872</v>
      </c>
      <c r="Z115" s="1">
        <v>0.76120755847718735</v>
      </c>
      <c r="AA115" s="1">
        <v>157.3408448738594</v>
      </c>
      <c r="AB115" s="1">
        <v>0.76614634168663598</v>
      </c>
      <c r="AC115" s="1">
        <v>45.434097542242704</v>
      </c>
    </row>
    <row r="116" spans="1:29" x14ac:dyDescent="0.2">
      <c r="A116" s="1" t="s">
        <v>451</v>
      </c>
      <c r="B116" s="1" t="str">
        <f t="shared" ca="1" si="1"/>
        <v>Open</v>
      </c>
      <c r="C116" s="1" t="s">
        <v>2770</v>
      </c>
      <c r="D116" s="1" t="s">
        <v>452</v>
      </c>
      <c r="E116" s="1" t="s">
        <v>453</v>
      </c>
      <c r="F116" s="1" t="s">
        <v>11</v>
      </c>
      <c r="G116" s="1" t="s">
        <v>454</v>
      </c>
      <c r="H116" s="24">
        <v>44295</v>
      </c>
      <c r="I116" s="1"/>
      <c r="J116" s="1">
        <v>47.922997000000002</v>
      </c>
      <c r="K116" s="1">
        <v>106.930375</v>
      </c>
      <c r="L116" s="20">
        <v>0.29166666666666669</v>
      </c>
      <c r="M116" s="20">
        <v>0.99930555555555556</v>
      </c>
      <c r="N116" s="1">
        <v>0.5137324854232288</v>
      </c>
      <c r="O116" s="1">
        <v>78.648921709401705</v>
      </c>
      <c r="P116" s="1">
        <v>0.72813332623440863</v>
      </c>
      <c r="Q116" s="1">
        <v>46.67252724014336</v>
      </c>
      <c r="R116" s="1">
        <v>0.64863386588556515</v>
      </c>
      <c r="S116" s="1">
        <v>89.738542735042742</v>
      </c>
      <c r="T116" s="1">
        <v>0.88694378065519708</v>
      </c>
      <c r="U116" s="1">
        <v>50.360106810035852</v>
      </c>
      <c r="V116" s="1">
        <v>0.45426026520613477</v>
      </c>
      <c r="W116" s="1">
        <v>66.493825204178549</v>
      </c>
      <c r="X116" s="1">
        <v>0.65499508588817179</v>
      </c>
      <c r="Y116" s="1">
        <v>33.09723620071685</v>
      </c>
      <c r="Z116" s="1">
        <v>0.39926922380193242</v>
      </c>
      <c r="AA116" s="1">
        <v>67.27418625872248</v>
      </c>
      <c r="AB116" s="1">
        <v>0.44759107754377886</v>
      </c>
      <c r="AC116" s="1">
        <v>36.235875192012287</v>
      </c>
    </row>
    <row r="117" spans="1:29" x14ac:dyDescent="0.2">
      <c r="A117" s="1" t="s">
        <v>455</v>
      </c>
      <c r="B117" s="1" t="str">
        <f t="shared" ca="1" si="1"/>
        <v>Open</v>
      </c>
      <c r="C117" s="1" t="s">
        <v>2770</v>
      </c>
      <c r="D117" s="1" t="s">
        <v>456</v>
      </c>
      <c r="E117" s="1" t="s">
        <v>457</v>
      </c>
      <c r="F117" s="1" t="s">
        <v>28</v>
      </c>
      <c r="G117" s="1" t="s">
        <v>458</v>
      </c>
      <c r="H117" s="24">
        <v>44345</v>
      </c>
      <c r="I117" s="1"/>
      <c r="J117" s="1">
        <v>47.911237999999997</v>
      </c>
      <c r="K117" s="1">
        <v>106.839142</v>
      </c>
      <c r="L117" s="20">
        <v>0</v>
      </c>
      <c r="M117" s="20">
        <v>0.99930555555555556</v>
      </c>
      <c r="N117" s="1">
        <v>0.88763865980814816</v>
      </c>
      <c r="O117" s="1">
        <v>140.95626630579298</v>
      </c>
      <c r="P117" s="1">
        <v>1.4632976375250895</v>
      </c>
      <c r="Q117" s="1">
        <v>86.924197849462345</v>
      </c>
      <c r="R117" s="1">
        <v>0.7619537720603039</v>
      </c>
      <c r="S117" s="1">
        <v>120.82539363722697</v>
      </c>
      <c r="T117" s="1">
        <v>1.1159317589064517</v>
      </c>
      <c r="U117" s="1">
        <v>71.90126989247311</v>
      </c>
      <c r="V117" s="1">
        <v>0.9084017634509971</v>
      </c>
      <c r="W117" s="1">
        <v>129.14338854700856</v>
      </c>
      <c r="X117" s="1">
        <v>1.2930902056870965</v>
      </c>
      <c r="Y117" s="1">
        <v>74.151085304659475</v>
      </c>
      <c r="Z117" s="1">
        <v>0.8239097599119698</v>
      </c>
      <c r="AA117" s="1">
        <v>174.53907675791734</v>
      </c>
      <c r="AB117" s="1">
        <v>1.115642094314516</v>
      </c>
      <c r="AC117" s="1">
        <v>76.03121543778802</v>
      </c>
    </row>
    <row r="118" spans="1:29" x14ac:dyDescent="0.2">
      <c r="A118" s="1" t="s">
        <v>459</v>
      </c>
      <c r="B118" s="1" t="str">
        <f t="shared" ca="1" si="1"/>
        <v>Open</v>
      </c>
      <c r="C118" s="1" t="s">
        <v>2770</v>
      </c>
      <c r="D118" s="1" t="s">
        <v>460</v>
      </c>
      <c r="E118" s="1" t="s">
        <v>461</v>
      </c>
      <c r="F118" s="1" t="s">
        <v>64</v>
      </c>
      <c r="G118" s="1" t="s">
        <v>462</v>
      </c>
      <c r="H118" s="24">
        <v>44376</v>
      </c>
      <c r="I118" s="1"/>
      <c r="J118" s="1">
        <v>47.898119999999999</v>
      </c>
      <c r="K118" s="1">
        <v>106.914267</v>
      </c>
      <c r="L118" s="20">
        <v>0</v>
      </c>
      <c r="M118" s="20">
        <v>0.99930555555555556</v>
      </c>
      <c r="N118" s="1">
        <v>0.88006626448871794</v>
      </c>
      <c r="O118" s="1">
        <v>156.70352241215573</v>
      </c>
      <c r="P118" s="1">
        <v>3.1053256549784947</v>
      </c>
      <c r="Q118" s="1">
        <v>80.927395340501789</v>
      </c>
      <c r="R118" s="1">
        <v>1.1562569639666671</v>
      </c>
      <c r="S118" s="1">
        <v>187.26378055555554</v>
      </c>
      <c r="T118" s="1">
        <v>2.2100219854584222</v>
      </c>
      <c r="U118" s="1">
        <v>77.970296774193528</v>
      </c>
      <c r="V118" s="1">
        <v>1.2259787905670703</v>
      </c>
      <c r="W118" s="1">
        <v>213.59064209401708</v>
      </c>
      <c r="X118" s="1">
        <v>2.7972507663906803</v>
      </c>
      <c r="Y118" s="1">
        <v>83.078523655913969</v>
      </c>
      <c r="Z118" s="1">
        <v>0.97833405058024725</v>
      </c>
      <c r="AA118" s="1">
        <v>203.92769514590347</v>
      </c>
      <c r="AB118" s="1">
        <v>2.4622030751605219</v>
      </c>
      <c r="AC118" s="1">
        <v>67.832337941628239</v>
      </c>
    </row>
    <row r="119" spans="1:29" x14ac:dyDescent="0.2">
      <c r="A119" s="1" t="s">
        <v>463</v>
      </c>
      <c r="B119" s="1" t="str">
        <f t="shared" ca="1" si="1"/>
        <v>Open</v>
      </c>
      <c r="C119" s="1" t="s">
        <v>2770</v>
      </c>
      <c r="D119" s="1" t="s">
        <v>464</v>
      </c>
      <c r="E119" s="1" t="s">
        <v>465</v>
      </c>
      <c r="F119" s="1" t="s">
        <v>145</v>
      </c>
      <c r="G119" s="1" t="s">
        <v>466</v>
      </c>
      <c r="H119" s="24">
        <v>44341</v>
      </c>
      <c r="I119" s="1"/>
      <c r="J119" s="1">
        <v>47.925114000000001</v>
      </c>
      <c r="K119" s="1">
        <v>106.812093</v>
      </c>
      <c r="L119" s="20">
        <v>0</v>
      </c>
      <c r="M119" s="20">
        <v>0.99930555555555556</v>
      </c>
      <c r="N119" s="1">
        <v>0.90439383780102556</v>
      </c>
      <c r="O119" s="1">
        <v>145.18350666666666</v>
      </c>
      <c r="P119" s="1">
        <v>0.71395676016702525</v>
      </c>
      <c r="Q119" s="1">
        <v>49.343541577060932</v>
      </c>
      <c r="R119" s="1">
        <v>0.96940600855223169</v>
      </c>
      <c r="S119" s="1">
        <v>133.36823029439697</v>
      </c>
      <c r="T119" s="1">
        <v>0.74244100364802856</v>
      </c>
      <c r="U119" s="1">
        <v>45.475413261648733</v>
      </c>
      <c r="V119" s="1">
        <v>1.2518286760773598</v>
      </c>
      <c r="W119" s="1">
        <v>154.08833639126303</v>
      </c>
      <c r="X119" s="1">
        <v>0.91709472552688143</v>
      </c>
      <c r="Y119" s="1">
        <v>57.25657706093191</v>
      </c>
      <c r="Z119" s="1">
        <v>0.90663828268438007</v>
      </c>
      <c r="AA119" s="1">
        <v>162.30831508319915</v>
      </c>
      <c r="AB119" s="1">
        <v>0.51270997569278032</v>
      </c>
      <c r="AC119" s="1">
        <v>41.708261904761905</v>
      </c>
    </row>
    <row r="120" spans="1:29" x14ac:dyDescent="0.2">
      <c r="A120" s="1" t="s">
        <v>467</v>
      </c>
      <c r="B120" s="1" t="str">
        <f t="shared" ca="1" si="1"/>
        <v>Open</v>
      </c>
      <c r="C120" s="1" t="s">
        <v>2770</v>
      </c>
      <c r="D120" s="1" t="s">
        <v>468</v>
      </c>
      <c r="E120" s="1" t="s">
        <v>469</v>
      </c>
      <c r="F120" s="1" t="s">
        <v>28</v>
      </c>
      <c r="G120" s="1" t="s">
        <v>470</v>
      </c>
      <c r="H120" s="24">
        <v>44407</v>
      </c>
      <c r="I120" s="1"/>
      <c r="J120" s="1">
        <v>47.925175000000003</v>
      </c>
      <c r="K120" s="1">
        <v>106.881039</v>
      </c>
      <c r="L120" s="20">
        <v>0</v>
      </c>
      <c r="M120" s="20">
        <v>0.99930555555555556</v>
      </c>
      <c r="N120" s="1">
        <v>0.84187968381724565</v>
      </c>
      <c r="O120" s="1">
        <v>146.10687339031341</v>
      </c>
      <c r="P120" s="1">
        <v>0.8514516036853047</v>
      </c>
      <c r="Q120" s="1">
        <v>48.090863440860211</v>
      </c>
      <c r="R120" s="1">
        <v>0.94286747895773981</v>
      </c>
      <c r="S120" s="1">
        <v>142.39259639126308</v>
      </c>
      <c r="T120" s="1">
        <v>0.91399450874659494</v>
      </c>
      <c r="U120" s="1">
        <v>52.703232616487448</v>
      </c>
      <c r="V120" s="1">
        <v>1.0433541826015953</v>
      </c>
      <c r="W120" s="1">
        <v>163.1213393352327</v>
      </c>
      <c r="X120" s="1">
        <v>1.2111046626548385</v>
      </c>
      <c r="Y120" s="1">
        <v>52.937860931899621</v>
      </c>
      <c r="Z120" s="1">
        <v>0.77371255331635791</v>
      </c>
      <c r="AA120" s="1">
        <v>142.11196604938274</v>
      </c>
      <c r="AB120" s="1">
        <v>0.8186329445456989</v>
      </c>
      <c r="AC120" s="1">
        <v>48.177935867895549</v>
      </c>
    </row>
    <row r="121" spans="1:29" x14ac:dyDescent="0.2">
      <c r="A121" s="1" t="s">
        <v>471</v>
      </c>
      <c r="B121" s="1" t="str">
        <f t="shared" ca="1" si="1"/>
        <v>Open</v>
      </c>
      <c r="C121" s="1" t="s">
        <v>2770</v>
      </c>
      <c r="D121" s="1" t="s">
        <v>472</v>
      </c>
      <c r="E121" s="1" t="s">
        <v>473</v>
      </c>
      <c r="F121" s="1" t="s">
        <v>33</v>
      </c>
      <c r="G121" s="1" t="s">
        <v>474</v>
      </c>
      <c r="H121" s="24">
        <v>44554</v>
      </c>
      <c r="I121" s="1"/>
      <c r="J121" s="1">
        <v>47.921567000000003</v>
      </c>
      <c r="K121" s="1">
        <v>106.914417</v>
      </c>
      <c r="L121" s="20">
        <v>0.29166666666666669</v>
      </c>
      <c r="M121" s="20">
        <v>0.91666666666666663</v>
      </c>
      <c r="N121" s="1">
        <v>0.39703811436902187</v>
      </c>
      <c r="O121" s="1">
        <v>82.157311471984812</v>
      </c>
      <c r="P121" s="1">
        <v>0.32690670635197133</v>
      </c>
      <c r="Q121" s="1">
        <v>27.839148745519712</v>
      </c>
      <c r="R121" s="1">
        <v>0.5279403448165767</v>
      </c>
      <c r="S121" s="1">
        <v>94.701071974808826</v>
      </c>
      <c r="T121" s="1">
        <v>0.32540159963727594</v>
      </c>
      <c r="U121" s="1">
        <v>26.827895698924731</v>
      </c>
      <c r="V121" s="1">
        <v>0.48128693441965814</v>
      </c>
      <c r="W121" s="1">
        <v>78.405749572649583</v>
      </c>
      <c r="X121" s="1">
        <v>0.33972140069283152</v>
      </c>
      <c r="Y121" s="1">
        <v>27.214355734767029</v>
      </c>
      <c r="Z121" s="1">
        <v>0.39223815186752131</v>
      </c>
      <c r="AA121" s="1">
        <v>82.183702279202279</v>
      </c>
      <c r="AB121" s="1">
        <v>0.34469888213341121</v>
      </c>
      <c r="AC121" s="1">
        <v>32.864013090229072</v>
      </c>
    </row>
    <row r="122" spans="1:29" x14ac:dyDescent="0.2">
      <c r="A122" s="1" t="s">
        <v>475</v>
      </c>
      <c r="B122" s="1" t="str">
        <f t="shared" ca="1" si="1"/>
        <v>Open</v>
      </c>
      <c r="C122" s="1" t="s">
        <v>2770</v>
      </c>
      <c r="D122" s="1" t="s">
        <v>476</v>
      </c>
      <c r="E122" s="1" t="s">
        <v>477</v>
      </c>
      <c r="F122" s="1" t="s">
        <v>11</v>
      </c>
      <c r="G122" s="1" t="s">
        <v>478</v>
      </c>
      <c r="H122" s="24">
        <v>44356</v>
      </c>
      <c r="I122" s="1"/>
      <c r="J122" s="1">
        <v>47.915163999999997</v>
      </c>
      <c r="K122" s="1">
        <v>106.92664499999999</v>
      </c>
      <c r="L122" s="20">
        <v>0</v>
      </c>
      <c r="M122" s="20">
        <v>0.99930555555555556</v>
      </c>
      <c r="N122" s="1">
        <v>1.3290177998075026</v>
      </c>
      <c r="O122" s="1">
        <v>227.03245667616338</v>
      </c>
      <c r="P122" s="1">
        <v>1.9506851999186383</v>
      </c>
      <c r="Q122" s="1">
        <v>92.107218637992787</v>
      </c>
      <c r="R122" s="1">
        <v>1.3685298508608736</v>
      </c>
      <c r="S122" s="1">
        <v>221.38040170940175</v>
      </c>
      <c r="T122" s="1">
        <v>1.8529711733892473</v>
      </c>
      <c r="U122" s="1">
        <v>88.3844770609319</v>
      </c>
      <c r="V122" s="1">
        <v>1.5894182622303701</v>
      </c>
      <c r="W122" s="1">
        <v>248.01568493827162</v>
      </c>
      <c r="X122" s="1">
        <v>1.71308701258638</v>
      </c>
      <c r="Y122" s="1">
        <v>92.386909677419339</v>
      </c>
      <c r="Z122" s="1">
        <v>1.0445184605308642</v>
      </c>
      <c r="AA122" s="1">
        <v>199.5573880837359</v>
      </c>
      <c r="AB122" s="1">
        <v>1.4571129309086024</v>
      </c>
      <c r="AC122" s="1">
        <v>76.293881720430122</v>
      </c>
    </row>
    <row r="123" spans="1:29" x14ac:dyDescent="0.2">
      <c r="A123" s="1" t="s">
        <v>479</v>
      </c>
      <c r="B123" s="1" t="str">
        <f t="shared" ca="1" si="1"/>
        <v>Open</v>
      </c>
      <c r="C123" s="1" t="s">
        <v>2770</v>
      </c>
      <c r="D123" s="1" t="s">
        <v>480</v>
      </c>
      <c r="E123" s="1" t="s">
        <v>481</v>
      </c>
      <c r="F123" s="1" t="s">
        <v>33</v>
      </c>
      <c r="G123" s="1" t="s">
        <v>482</v>
      </c>
      <c r="H123" s="24">
        <v>44342</v>
      </c>
      <c r="I123" s="1"/>
      <c r="J123" s="1">
        <v>47.924702000000003</v>
      </c>
      <c r="K123" s="1">
        <v>106.900987</v>
      </c>
      <c r="L123" s="20">
        <v>0</v>
      </c>
      <c r="M123" s="20">
        <v>0.99930555555555556</v>
      </c>
      <c r="N123" s="1">
        <v>0.681979241285945</v>
      </c>
      <c r="O123" s="1">
        <v>115.30846843304845</v>
      </c>
      <c r="P123" s="1">
        <v>0.55509981331756297</v>
      </c>
      <c r="Q123" s="1">
        <v>37.894231541218637</v>
      </c>
      <c r="R123" s="1">
        <v>0.70687339928062676</v>
      </c>
      <c r="S123" s="1">
        <v>110.25751566951567</v>
      </c>
      <c r="T123" s="1">
        <v>0.53232889257096794</v>
      </c>
      <c r="U123" s="1">
        <v>36.072925806451615</v>
      </c>
      <c r="V123" s="1">
        <v>0.85833751842282979</v>
      </c>
      <c r="W123" s="1">
        <v>136.29346837606838</v>
      </c>
      <c r="X123" s="1">
        <v>0.67331925174659502</v>
      </c>
      <c r="Y123" s="1">
        <v>41.717780645161298</v>
      </c>
      <c r="Z123" s="1">
        <v>0.57404308741170162</v>
      </c>
      <c r="AA123" s="1">
        <v>105.69687922705312</v>
      </c>
      <c r="AB123" s="1">
        <v>0.36525285383141304</v>
      </c>
      <c r="AC123" s="1">
        <v>31.807629800307222</v>
      </c>
    </row>
    <row r="124" spans="1:29" x14ac:dyDescent="0.2">
      <c r="A124" s="1" t="s">
        <v>483</v>
      </c>
      <c r="B124" s="1" t="str">
        <f t="shared" ca="1" si="1"/>
        <v>Open</v>
      </c>
      <c r="C124" s="1" t="s">
        <v>2770</v>
      </c>
      <c r="D124" s="1" t="s">
        <v>484</v>
      </c>
      <c r="E124" s="1" t="s">
        <v>485</v>
      </c>
      <c r="F124" s="1" t="s">
        <v>64</v>
      </c>
      <c r="G124" s="1" t="s">
        <v>486</v>
      </c>
      <c r="H124" s="24">
        <v>44350</v>
      </c>
      <c r="I124" s="1"/>
      <c r="J124" s="1">
        <v>47.892311999999997</v>
      </c>
      <c r="K124" s="1">
        <v>106.90660200000001</v>
      </c>
      <c r="L124" s="20">
        <v>0.29166666666666669</v>
      </c>
      <c r="M124" s="20">
        <v>0.99930555555555556</v>
      </c>
      <c r="N124" s="1">
        <v>0.3072703173293258</v>
      </c>
      <c r="O124" s="1">
        <v>48.20461982905983</v>
      </c>
      <c r="P124" s="1">
        <v>0.79896384550215049</v>
      </c>
      <c r="Q124" s="1">
        <v>24.500227956989249</v>
      </c>
      <c r="R124" s="1">
        <v>0.39627600239722693</v>
      </c>
      <c r="S124" s="1">
        <v>59.298249857549877</v>
      </c>
      <c r="T124" s="1">
        <v>0.80673701010931886</v>
      </c>
      <c r="U124" s="1">
        <v>29.643658781362003</v>
      </c>
      <c r="V124" s="1">
        <v>0.41297585305439699</v>
      </c>
      <c r="W124" s="1">
        <v>64.791231282051285</v>
      </c>
      <c r="X124" s="1">
        <v>0.78942116729032241</v>
      </c>
      <c r="Y124" s="1">
        <v>31.798045878136197</v>
      </c>
      <c r="Z124" s="1">
        <v>0.29325608491519062</v>
      </c>
      <c r="AA124" s="1">
        <v>57.133468062265166</v>
      </c>
      <c r="AB124" s="1">
        <v>0.4553236883582949</v>
      </c>
      <c r="AC124" s="1">
        <v>21.344038786482329</v>
      </c>
    </row>
    <row r="125" spans="1:29" x14ac:dyDescent="0.2">
      <c r="A125" s="1" t="s">
        <v>487</v>
      </c>
      <c r="B125" s="1" t="str">
        <f t="shared" ca="1" si="1"/>
        <v>Open</v>
      </c>
      <c r="C125" s="1" t="s">
        <v>2770</v>
      </c>
      <c r="D125" s="1" t="s">
        <v>2609</v>
      </c>
      <c r="E125" s="1" t="s">
        <v>2629</v>
      </c>
      <c r="F125" s="1" t="s">
        <v>64</v>
      </c>
      <c r="G125" s="1" t="s">
        <v>488</v>
      </c>
      <c r="H125" s="24">
        <v>44376</v>
      </c>
      <c r="I125" s="1"/>
      <c r="J125" s="1">
        <v>47.886353</v>
      </c>
      <c r="K125" s="1">
        <v>106.91104</v>
      </c>
      <c r="L125" s="20">
        <v>0</v>
      </c>
      <c r="M125" s="20">
        <v>0.99930555555555556</v>
      </c>
      <c r="N125" s="1">
        <v>1.0434595145866667</v>
      </c>
      <c r="O125" s="1">
        <v>182.8475827777778</v>
      </c>
      <c r="P125" s="1">
        <v>1.6807965363333335</v>
      </c>
      <c r="Q125" s="1">
        <v>61.781277777777781</v>
      </c>
      <c r="R125" s="1">
        <v>1.0056496111816238</v>
      </c>
      <c r="S125" s="1">
        <v>157.33963461538463</v>
      </c>
      <c r="T125" s="1">
        <v>1.4524431097770119</v>
      </c>
      <c r="U125" s="1">
        <v>60.570577777777778</v>
      </c>
      <c r="V125" s="1">
        <v>1.001868971225413</v>
      </c>
      <c r="W125" s="1">
        <v>166.98491794871799</v>
      </c>
      <c r="X125" s="1">
        <v>1.4802722656596217</v>
      </c>
      <c r="Y125" s="1">
        <v>51.297739340007418</v>
      </c>
      <c r="Z125" s="1">
        <v>0.78713707574501657</v>
      </c>
      <c r="AA125" s="1">
        <v>147.0846820289855</v>
      </c>
      <c r="AB125" s="1">
        <v>1.1345547329920636</v>
      </c>
      <c r="AC125" s="1">
        <v>55.955125396825402</v>
      </c>
    </row>
    <row r="126" spans="1:29" x14ac:dyDescent="0.2">
      <c r="A126" s="1" t="s">
        <v>489</v>
      </c>
      <c r="B126" s="1" t="str">
        <f t="shared" ca="1" si="1"/>
        <v>Open</v>
      </c>
      <c r="C126" s="1" t="s">
        <v>2770</v>
      </c>
      <c r="D126" s="1" t="s">
        <v>490</v>
      </c>
      <c r="E126" s="1" t="s">
        <v>491</v>
      </c>
      <c r="F126" s="1" t="s">
        <v>28</v>
      </c>
      <c r="G126" s="1" t="s">
        <v>492</v>
      </c>
      <c r="H126" s="24">
        <v>44367</v>
      </c>
      <c r="I126" s="1"/>
      <c r="J126" s="1">
        <v>47.914377000000002</v>
      </c>
      <c r="K126" s="1">
        <v>106.879949</v>
      </c>
      <c r="L126" s="20">
        <v>0</v>
      </c>
      <c r="M126" s="20">
        <v>0.99930555555555556</v>
      </c>
      <c r="N126" s="1">
        <v>0.5799369568853181</v>
      </c>
      <c r="O126" s="1">
        <v>116.29329813865145</v>
      </c>
      <c r="P126" s="1">
        <v>0.75925676473786918</v>
      </c>
      <c r="Q126" s="1">
        <v>36.559980929427752</v>
      </c>
      <c r="R126" s="1">
        <v>1.082980309409366</v>
      </c>
      <c r="S126" s="1">
        <v>187.83472002611583</v>
      </c>
      <c r="T126" s="1">
        <v>1.1855131299306454</v>
      </c>
      <c r="U126" s="1">
        <v>60.99507419354839</v>
      </c>
      <c r="V126" s="1">
        <v>0.60274738646820514</v>
      </c>
      <c r="W126" s="1">
        <v>108.67440961063629</v>
      </c>
      <c r="X126" s="1">
        <v>0.76191631363405021</v>
      </c>
      <c r="Y126" s="1">
        <v>36.887043010752684</v>
      </c>
      <c r="Z126" s="1">
        <v>0.7983985401057434</v>
      </c>
      <c r="AA126" s="1">
        <v>178.13948792270529</v>
      </c>
      <c r="AB126" s="1">
        <v>0.90294989119930891</v>
      </c>
      <c r="AC126" s="1">
        <v>44.320170506912433</v>
      </c>
    </row>
    <row r="127" spans="1:29" x14ac:dyDescent="0.2">
      <c r="A127" s="1" t="s">
        <v>493</v>
      </c>
      <c r="B127" s="1" t="str">
        <f t="shared" ca="1" si="1"/>
        <v>Open</v>
      </c>
      <c r="C127" s="1" t="s">
        <v>2770</v>
      </c>
      <c r="D127" s="1" t="s">
        <v>494</v>
      </c>
      <c r="E127" s="1" t="s">
        <v>495</v>
      </c>
      <c r="F127" s="1" t="s">
        <v>11</v>
      </c>
      <c r="G127" s="1" t="s">
        <v>496</v>
      </c>
      <c r="H127" s="24">
        <v>44377</v>
      </c>
      <c r="I127" s="1"/>
      <c r="J127" s="1">
        <v>47.914147</v>
      </c>
      <c r="K127" s="1">
        <v>106.91356399999999</v>
      </c>
      <c r="L127" s="20">
        <v>0.29166666666666669</v>
      </c>
      <c r="M127" s="20">
        <v>0.99930555555555556</v>
      </c>
      <c r="N127" s="1">
        <v>0.41024780304279201</v>
      </c>
      <c r="O127" s="1">
        <v>69.90549375118708</v>
      </c>
      <c r="P127" s="1">
        <v>0.66454713782544805</v>
      </c>
      <c r="Q127" s="1">
        <v>32.688487813620071</v>
      </c>
      <c r="R127" s="1">
        <v>0.43775266816239311</v>
      </c>
      <c r="S127" s="1">
        <v>69.826600664767327</v>
      </c>
      <c r="T127" s="1">
        <v>0.5565532046594982</v>
      </c>
      <c r="U127" s="1">
        <v>38.110331541218628</v>
      </c>
      <c r="V127" s="1">
        <v>0.35040438063071216</v>
      </c>
      <c r="W127" s="1">
        <v>58.880434529914538</v>
      </c>
      <c r="X127" s="1">
        <v>0.58270353303646139</v>
      </c>
      <c r="Y127" s="1">
        <v>30.228622287390021</v>
      </c>
      <c r="Z127" s="1">
        <v>0.3587964030998651</v>
      </c>
      <c r="AA127" s="1">
        <v>59.549770580296901</v>
      </c>
      <c r="AB127" s="1">
        <v>0.6311411454063619</v>
      </c>
      <c r="AC127" s="1">
        <v>36.423897491039419</v>
      </c>
    </row>
    <row r="128" spans="1:29" x14ac:dyDescent="0.2">
      <c r="A128" s="1" t="s">
        <v>497</v>
      </c>
      <c r="B128" s="1" t="str">
        <f t="shared" ca="1" si="1"/>
        <v>Open</v>
      </c>
      <c r="C128" s="1" t="s">
        <v>2770</v>
      </c>
      <c r="D128" s="1" t="s">
        <v>498</v>
      </c>
      <c r="E128" s="1" t="s">
        <v>499</v>
      </c>
      <c r="F128" s="1" t="s">
        <v>48</v>
      </c>
      <c r="G128" s="1" t="s">
        <v>500</v>
      </c>
      <c r="H128" s="24">
        <v>44377</v>
      </c>
      <c r="I128" s="1"/>
      <c r="J128" s="1">
        <v>47.915132</v>
      </c>
      <c r="K128" s="1">
        <v>106.939774</v>
      </c>
      <c r="L128" s="20">
        <v>0.29166666666666669</v>
      </c>
      <c r="M128" s="20">
        <v>0.99930555555555556</v>
      </c>
      <c r="N128" s="1">
        <v>0.49544261299171888</v>
      </c>
      <c r="O128" s="1">
        <v>70.266086875593544</v>
      </c>
      <c r="P128" s="1">
        <v>0.76898368302831532</v>
      </c>
      <c r="Q128" s="1">
        <v>45.385884229390683</v>
      </c>
      <c r="R128" s="1">
        <v>0.41994614544729342</v>
      </c>
      <c r="S128" s="1">
        <v>61.454936847103518</v>
      </c>
      <c r="T128" s="1">
        <v>0.68524091399283138</v>
      </c>
      <c r="U128" s="1">
        <v>42.046074193548378</v>
      </c>
      <c r="V128" s="1">
        <v>0.36438885863999998</v>
      </c>
      <c r="W128" s="1">
        <v>62.599174814814809</v>
      </c>
      <c r="X128" s="1">
        <v>0.52714476939283161</v>
      </c>
      <c r="Y128" s="1">
        <v>30.319374193548374</v>
      </c>
      <c r="Z128" s="1">
        <v>0.33263648224691361</v>
      </c>
      <c r="AA128" s="1">
        <v>58.341085346215777</v>
      </c>
      <c r="AB128" s="1">
        <v>0.5147555521209678</v>
      </c>
      <c r="AC128" s="1">
        <v>32.013526497695842</v>
      </c>
    </row>
    <row r="129" spans="1:29" x14ac:dyDescent="0.2">
      <c r="A129" s="1" t="s">
        <v>501</v>
      </c>
      <c r="B129" s="1" t="str">
        <f t="shared" ca="1" si="1"/>
        <v>Open</v>
      </c>
      <c r="C129" s="1" t="s">
        <v>2770</v>
      </c>
      <c r="D129" s="1" t="s">
        <v>502</v>
      </c>
      <c r="E129" s="1" t="s">
        <v>503</v>
      </c>
      <c r="F129" s="1" t="s">
        <v>64</v>
      </c>
      <c r="G129" s="1" t="s">
        <v>504</v>
      </c>
      <c r="H129" s="24">
        <v>44377</v>
      </c>
      <c r="I129" s="1"/>
      <c r="J129" s="1">
        <v>47.898161000000002</v>
      </c>
      <c r="K129" s="1">
        <v>106.894013</v>
      </c>
      <c r="L129" s="20">
        <v>0</v>
      </c>
      <c r="M129" s="20">
        <v>0.99930555555555556</v>
      </c>
      <c r="N129" s="1">
        <v>0.81435955534867988</v>
      </c>
      <c r="O129" s="1">
        <v>152.83495185185186</v>
      </c>
      <c r="P129" s="1">
        <v>0.85231284057347689</v>
      </c>
      <c r="Q129" s="1">
        <v>62.320187455197129</v>
      </c>
      <c r="R129" s="1">
        <v>0.9558641375873691</v>
      </c>
      <c r="S129" s="1">
        <v>156.34911870845207</v>
      </c>
      <c r="T129" s="1">
        <v>1.0223129522354837</v>
      </c>
      <c r="U129" s="1">
        <v>68.167643010752684</v>
      </c>
      <c r="V129" s="1">
        <v>0.92293638177990511</v>
      </c>
      <c r="W129" s="1">
        <v>153.59062773029436</v>
      </c>
      <c r="X129" s="1">
        <v>1.0050196620530465</v>
      </c>
      <c r="Y129" s="1">
        <v>66.442468817204301</v>
      </c>
      <c r="Z129" s="1">
        <v>0.6108444723150831</v>
      </c>
      <c r="AA129" s="1">
        <v>125.35473805689749</v>
      </c>
      <c r="AB129" s="1">
        <v>0.7464417616747312</v>
      </c>
      <c r="AC129" s="1">
        <v>55.118653609831028</v>
      </c>
    </row>
    <row r="130" spans="1:29" x14ac:dyDescent="0.2">
      <c r="A130" s="1" t="s">
        <v>505</v>
      </c>
      <c r="B130" s="1" t="str">
        <f t="shared" ca="1" si="1"/>
        <v>Open</v>
      </c>
      <c r="C130" s="1" t="s">
        <v>2770</v>
      </c>
      <c r="D130" s="1" t="s">
        <v>506</v>
      </c>
      <c r="E130" s="1" t="s">
        <v>507</v>
      </c>
      <c r="F130" s="1" t="s">
        <v>48</v>
      </c>
      <c r="G130" s="1" t="s">
        <v>508</v>
      </c>
      <c r="H130" s="24">
        <v>44377</v>
      </c>
      <c r="I130" s="1"/>
      <c r="J130" s="1">
        <v>47.915965999999997</v>
      </c>
      <c r="K130" s="1">
        <v>106.947059</v>
      </c>
      <c r="L130" s="20">
        <v>0.29166666666666669</v>
      </c>
      <c r="M130" s="20">
        <v>0.99930555555555556</v>
      </c>
      <c r="N130" s="1">
        <v>0.55843829442284898</v>
      </c>
      <c r="O130" s="1">
        <v>80.57227399810067</v>
      </c>
      <c r="P130" s="1">
        <v>1.0216208432494622</v>
      </c>
      <c r="Q130" s="1">
        <v>45.000131182795684</v>
      </c>
      <c r="R130" s="1">
        <v>0.44984309053513777</v>
      </c>
      <c r="S130" s="1">
        <v>66.715680436847094</v>
      </c>
      <c r="T130" s="1">
        <v>1.011111364136559</v>
      </c>
      <c r="U130" s="1">
        <v>40.187211111111104</v>
      </c>
      <c r="V130" s="1">
        <v>0.49352096297483378</v>
      </c>
      <c r="W130" s="1">
        <v>73.051775175688491</v>
      </c>
      <c r="X130" s="1">
        <v>0.94994214856021486</v>
      </c>
      <c r="Y130" s="1">
        <v>40.802421146953407</v>
      </c>
      <c r="Z130" s="1">
        <v>0.35383220484594746</v>
      </c>
      <c r="AA130" s="1">
        <v>58.527239935587751</v>
      </c>
      <c r="AB130" s="1">
        <v>0.77527383314746556</v>
      </c>
      <c r="AC130" s="1">
        <v>33.942811443932413</v>
      </c>
    </row>
    <row r="131" spans="1:29" x14ac:dyDescent="0.2">
      <c r="A131" s="1" t="s">
        <v>509</v>
      </c>
      <c r="B131" s="1" t="str">
        <f t="shared" ca="1" si="1"/>
        <v>Open</v>
      </c>
      <c r="C131" s="1" t="s">
        <v>2770</v>
      </c>
      <c r="D131" s="1" t="s">
        <v>510</v>
      </c>
      <c r="E131" s="1" t="s">
        <v>511</v>
      </c>
      <c r="F131" s="1" t="s">
        <v>11</v>
      </c>
      <c r="G131" s="1" t="s">
        <v>512</v>
      </c>
      <c r="H131" s="24">
        <v>44377</v>
      </c>
      <c r="I131" s="1"/>
      <c r="J131" s="1">
        <v>47.920093000000001</v>
      </c>
      <c r="K131" s="1">
        <v>106.922355</v>
      </c>
      <c r="L131" s="20">
        <v>0.29166666666666669</v>
      </c>
      <c r="M131" s="20">
        <v>0.99930555555555556</v>
      </c>
      <c r="N131" s="1">
        <v>0.83849162537375099</v>
      </c>
      <c r="O131" s="1">
        <v>131.18602045584049</v>
      </c>
      <c r="P131" s="1">
        <v>1.1204656125655912</v>
      </c>
      <c r="Q131" s="1">
        <v>72.780501792114705</v>
      </c>
      <c r="R131" s="1">
        <v>0.92860419559116814</v>
      </c>
      <c r="S131" s="1">
        <v>141.30482205603042</v>
      </c>
      <c r="T131" s="1">
        <v>0.91343609579892482</v>
      </c>
      <c r="U131" s="1">
        <v>68.39774193548385</v>
      </c>
      <c r="V131" s="1">
        <v>0.88498642849272546</v>
      </c>
      <c r="W131" s="1">
        <v>136.43349325735994</v>
      </c>
      <c r="X131" s="1">
        <v>0.88117140298028696</v>
      </c>
      <c r="Y131" s="1">
        <v>56.083313620071671</v>
      </c>
      <c r="Z131" s="1">
        <v>0.62404843046141978</v>
      </c>
      <c r="AA131" s="1">
        <v>111.95910339506173</v>
      </c>
      <c r="AB131" s="1">
        <v>0.91394699692204318</v>
      </c>
      <c r="AC131" s="1">
        <v>62.299311443932396</v>
      </c>
    </row>
    <row r="132" spans="1:29" x14ac:dyDescent="0.2">
      <c r="A132" s="1" t="s">
        <v>513</v>
      </c>
      <c r="B132" s="1" t="str">
        <f t="shared" ref="B132:B195" ca="1" si="2">IF(AND(NOT(ISBLANK(I132)), I132 &lt;= TODAY()), "Closed", IF(H132 &gt; TODAY(), "Will open in future", "Open"))</f>
        <v>Open</v>
      </c>
      <c r="C132" s="1" t="s">
        <v>2770</v>
      </c>
      <c r="D132" s="1" t="s">
        <v>514</v>
      </c>
      <c r="E132" s="1" t="s">
        <v>515</v>
      </c>
      <c r="F132" s="1" t="s">
        <v>28</v>
      </c>
      <c r="G132" s="1" t="s">
        <v>516</v>
      </c>
      <c r="H132" s="24">
        <v>44407</v>
      </c>
      <c r="I132" s="1"/>
      <c r="J132" s="1">
        <v>47.923372000000001</v>
      </c>
      <c r="K132" s="1">
        <v>106.866457</v>
      </c>
      <c r="L132" s="20">
        <v>0</v>
      </c>
      <c r="M132" s="20">
        <v>0.99930555555555556</v>
      </c>
      <c r="N132" s="1">
        <v>1.090423844502507</v>
      </c>
      <c r="O132" s="1">
        <v>191.37617705603034</v>
      </c>
      <c r="P132" s="1">
        <v>0.78725080010394255</v>
      </c>
      <c r="Q132" s="1">
        <v>47.210057706093188</v>
      </c>
      <c r="R132" s="1">
        <v>1.192960279871244</v>
      </c>
      <c r="S132" s="1">
        <v>182.69751171889843</v>
      </c>
      <c r="T132" s="1">
        <v>0.78610370869856627</v>
      </c>
      <c r="U132" s="1">
        <v>48.83378673835125</v>
      </c>
      <c r="V132" s="1">
        <v>1.2943744083784616</v>
      </c>
      <c r="W132" s="1">
        <v>195.42744153846152</v>
      </c>
      <c r="X132" s="1">
        <v>0.92888998192078853</v>
      </c>
      <c r="Y132" s="1">
        <v>47.605516129032253</v>
      </c>
      <c r="Z132" s="1">
        <v>0.94195764030471363</v>
      </c>
      <c r="AA132" s="1">
        <v>187.52594556677886</v>
      </c>
      <c r="AB132" s="1">
        <v>0.65147204077035326</v>
      </c>
      <c r="AC132" s="1">
        <v>38.697884408602143</v>
      </c>
    </row>
    <row r="133" spans="1:29" x14ac:dyDescent="0.2">
      <c r="A133" s="1" t="s">
        <v>517</v>
      </c>
      <c r="B133" s="1" t="str">
        <f t="shared" ca="1" si="2"/>
        <v>Open</v>
      </c>
      <c r="C133" s="1" t="s">
        <v>2770</v>
      </c>
      <c r="D133" s="1" t="s">
        <v>518</v>
      </c>
      <c r="E133" s="1" t="s">
        <v>519</v>
      </c>
      <c r="F133" s="1" t="s">
        <v>64</v>
      </c>
      <c r="G133" s="1" t="s">
        <v>520</v>
      </c>
      <c r="H133" s="24">
        <v>44407</v>
      </c>
      <c r="I133" s="1"/>
      <c r="J133" s="1">
        <v>47.838558999999997</v>
      </c>
      <c r="K133" s="1">
        <v>106.789036</v>
      </c>
      <c r="L133" s="20">
        <v>0</v>
      </c>
      <c r="M133" s="20">
        <v>0.99930555555555556</v>
      </c>
      <c r="N133" s="1">
        <v>2.9583228548354406</v>
      </c>
      <c r="O133" s="1">
        <v>435.36841709401705</v>
      </c>
      <c r="P133" s="1">
        <v>2.5391886797064509</v>
      </c>
      <c r="Q133" s="1">
        <v>140.03502688172043</v>
      </c>
      <c r="R133" s="1">
        <v>3.802223468122031</v>
      </c>
      <c r="S133" s="1">
        <v>463.87074786324774</v>
      </c>
      <c r="T133" s="1">
        <v>2.677422459184946</v>
      </c>
      <c r="U133" s="1">
        <v>159.34050000000002</v>
      </c>
      <c r="V133" s="1">
        <v>4.1215178766414589</v>
      </c>
      <c r="W133" s="1">
        <v>548.25857008959917</v>
      </c>
      <c r="X133" s="1">
        <v>3.0556133458943937</v>
      </c>
      <c r="Y133" s="1">
        <v>176.27633870967747</v>
      </c>
      <c r="Z133" s="1">
        <v>2.4041582723134729</v>
      </c>
      <c r="AA133" s="1">
        <v>385.64293236714974</v>
      </c>
      <c r="AB133" s="1">
        <v>1.8942723968974657</v>
      </c>
      <c r="AC133" s="1">
        <v>119.44738095238097</v>
      </c>
    </row>
    <row r="134" spans="1:29" x14ac:dyDescent="0.2">
      <c r="A134" s="1" t="s">
        <v>521</v>
      </c>
      <c r="B134" s="1" t="str">
        <f t="shared" ca="1" si="2"/>
        <v>Open</v>
      </c>
      <c r="C134" s="1" t="s">
        <v>2770</v>
      </c>
      <c r="D134" s="1" t="s">
        <v>522</v>
      </c>
      <c r="E134" s="1" t="s">
        <v>523</v>
      </c>
      <c r="F134" s="1" t="s">
        <v>64</v>
      </c>
      <c r="G134" s="1" t="s">
        <v>524</v>
      </c>
      <c r="H134" s="24">
        <v>44431</v>
      </c>
      <c r="I134" s="1"/>
      <c r="J134" s="1">
        <v>47.891080000000002</v>
      </c>
      <c r="K134" s="1">
        <v>106.923727</v>
      </c>
      <c r="L134" s="20">
        <v>0</v>
      </c>
      <c r="M134" s="20">
        <v>0.99930555555555556</v>
      </c>
      <c r="N134" s="1">
        <v>0.73258982189717015</v>
      </c>
      <c r="O134" s="1">
        <v>133.54933684710352</v>
      </c>
      <c r="P134" s="1">
        <v>3.7623299274573481</v>
      </c>
      <c r="Q134" s="1">
        <v>58.442204659498223</v>
      </c>
      <c r="R134" s="1">
        <v>0.85051123702706555</v>
      </c>
      <c r="S134" s="1">
        <v>136.19180531813862</v>
      </c>
      <c r="T134" s="1">
        <v>3.2344746920017933</v>
      </c>
      <c r="U134" s="1">
        <v>62.575664157706093</v>
      </c>
      <c r="V134" s="1">
        <v>1.0481274853460021</v>
      </c>
      <c r="W134" s="1">
        <v>172.5437544159544</v>
      </c>
      <c r="X134" s="1">
        <v>3.6621112379232965</v>
      </c>
      <c r="Y134" s="1">
        <v>71.716476344086033</v>
      </c>
      <c r="Z134" s="1">
        <v>0.68487760763016647</v>
      </c>
      <c r="AA134" s="1">
        <v>137.79699838969404</v>
      </c>
      <c r="AB134" s="1">
        <v>2.6080808514136198</v>
      </c>
      <c r="AC134" s="1">
        <v>53.878670404505897</v>
      </c>
    </row>
    <row r="135" spans="1:29" x14ac:dyDescent="0.2">
      <c r="A135" s="1" t="s">
        <v>525</v>
      </c>
      <c r="B135" s="1" t="str">
        <f t="shared" ca="1" si="2"/>
        <v>Open</v>
      </c>
      <c r="C135" s="1" t="s">
        <v>2770</v>
      </c>
      <c r="D135" s="1" t="s">
        <v>526</v>
      </c>
      <c r="E135" s="1" t="s">
        <v>527</v>
      </c>
      <c r="F135" s="1" t="s">
        <v>48</v>
      </c>
      <c r="G135" s="1" t="s">
        <v>528</v>
      </c>
      <c r="H135" s="24">
        <v>44663</v>
      </c>
      <c r="I135" s="1"/>
      <c r="J135" s="1">
        <v>47.927515999999997</v>
      </c>
      <c r="K135" s="1">
        <v>106.939809</v>
      </c>
      <c r="L135" s="20">
        <v>0</v>
      </c>
      <c r="M135" s="20">
        <v>0.99930555555555556</v>
      </c>
      <c r="N135" s="1">
        <v>0.79230993826282992</v>
      </c>
      <c r="O135" s="1">
        <v>119.99523278252614</v>
      </c>
      <c r="P135" s="1">
        <v>1.8413580394458773</v>
      </c>
      <c r="Q135" s="1">
        <v>52.833259498207866</v>
      </c>
      <c r="R135" s="1">
        <v>0.81639018413675224</v>
      </c>
      <c r="S135" s="1">
        <v>113.63024074074075</v>
      </c>
      <c r="T135" s="1">
        <v>1.058192781460215</v>
      </c>
      <c r="U135" s="1">
        <v>49.24082688172043</v>
      </c>
      <c r="V135" s="1">
        <v>0.87174578349145293</v>
      </c>
      <c r="W135" s="1">
        <v>116.9823593922127</v>
      </c>
      <c r="X135" s="1">
        <v>1.5274015565268815</v>
      </c>
      <c r="Y135" s="1">
        <v>50.35988924731182</v>
      </c>
      <c r="Z135" s="1">
        <v>0.71266214199087496</v>
      </c>
      <c r="AA135" s="1">
        <v>119.32571819645734</v>
      </c>
      <c r="AB135" s="1">
        <v>1.2730225303894007</v>
      </c>
      <c r="AC135" s="1">
        <v>45.206247695852539</v>
      </c>
    </row>
    <row r="136" spans="1:29" x14ac:dyDescent="0.2">
      <c r="A136" s="1" t="s">
        <v>529</v>
      </c>
      <c r="B136" s="1" t="str">
        <f t="shared" ca="1" si="2"/>
        <v>Open</v>
      </c>
      <c r="C136" s="1" t="s">
        <v>2770</v>
      </c>
      <c r="D136" s="1" t="s">
        <v>530</v>
      </c>
      <c r="E136" s="1" t="s">
        <v>531</v>
      </c>
      <c r="F136" s="1" t="s">
        <v>64</v>
      </c>
      <c r="G136" s="1" t="s">
        <v>532</v>
      </c>
      <c r="H136" s="24">
        <v>44518</v>
      </c>
      <c r="I136" s="1"/>
      <c r="J136" s="1">
        <v>47.877434000000001</v>
      </c>
      <c r="K136" s="1">
        <v>106.85571400000001</v>
      </c>
      <c r="L136" s="20">
        <v>0.41666666666666669</v>
      </c>
      <c r="M136" s="20">
        <v>0.875</v>
      </c>
      <c r="N136" s="1">
        <v>0.40909925046003798</v>
      </c>
      <c r="O136" s="1">
        <v>62.605361158594498</v>
      </c>
      <c r="P136" s="1">
        <v>0.52093245344838723</v>
      </c>
      <c r="Q136" s="1">
        <v>36.751189605734773</v>
      </c>
      <c r="R136" s="1">
        <v>0.43653080431718888</v>
      </c>
      <c r="S136" s="1">
        <v>58.390131054131054</v>
      </c>
      <c r="T136" s="1">
        <v>0.38925774063942647</v>
      </c>
      <c r="U136" s="1">
        <v>31.973635842293913</v>
      </c>
      <c r="V136" s="1">
        <v>0.48492118663790212</v>
      </c>
      <c r="W136" s="1">
        <v>68.626034592074589</v>
      </c>
      <c r="X136" s="1">
        <v>0.3617750006477996</v>
      </c>
      <c r="Y136" s="1">
        <v>29.34677954137074</v>
      </c>
      <c r="Z136" s="1">
        <v>0.3992501829271255</v>
      </c>
      <c r="AA136" s="1">
        <v>55.838771255060728</v>
      </c>
      <c r="AB136" s="1">
        <v>0.41709166673340503</v>
      </c>
      <c r="AC136" s="1">
        <v>35.877769318996421</v>
      </c>
    </row>
    <row r="137" spans="1:29" x14ac:dyDescent="0.2">
      <c r="A137" s="1" t="s">
        <v>533</v>
      </c>
      <c r="B137" s="1" t="str">
        <f t="shared" ca="1" si="2"/>
        <v>Closed</v>
      </c>
      <c r="C137" s="1" t="s">
        <v>2770</v>
      </c>
      <c r="D137" s="1" t="s">
        <v>534</v>
      </c>
      <c r="E137" s="1" t="s">
        <v>535</v>
      </c>
      <c r="F137" s="1" t="s">
        <v>64</v>
      </c>
      <c r="G137" s="1" t="s">
        <v>536</v>
      </c>
      <c r="H137" s="24">
        <v>44518</v>
      </c>
      <c r="I137" s="24">
        <v>45731</v>
      </c>
      <c r="J137" s="1">
        <v>47.873933999999998</v>
      </c>
      <c r="K137" s="1">
        <v>106.908773</v>
      </c>
      <c r="L137" s="20">
        <v>0.29166666666666669</v>
      </c>
      <c r="M137" s="20">
        <v>0.99930555555555556</v>
      </c>
      <c r="N137" s="1">
        <v>0.73639092957822683</v>
      </c>
      <c r="O137" s="1">
        <v>120.83034189340572</v>
      </c>
      <c r="P137" s="1">
        <v>1.0305683280225519</v>
      </c>
      <c r="Q137" s="1">
        <v>50.741335744455974</v>
      </c>
      <c r="R137" s="1">
        <v>0.77505565528977927</v>
      </c>
      <c r="S137" s="1">
        <v>110.38798636394478</v>
      </c>
      <c r="T137" s="1">
        <v>0.95323771147676561</v>
      </c>
      <c r="U137" s="1">
        <v>50.072527276006774</v>
      </c>
      <c r="V137" s="1">
        <v>0.92053739661526512</v>
      </c>
      <c r="W137" s="1">
        <v>133.18199833686319</v>
      </c>
      <c r="X137" s="1">
        <v>1.0622171211785376</v>
      </c>
      <c r="Y137" s="1">
        <v>52.728527320208435</v>
      </c>
      <c r="Z137" s="1">
        <v>0.61668712407906823</v>
      </c>
      <c r="AA137" s="1">
        <v>111.42882484304808</v>
      </c>
      <c r="AB137" s="1">
        <v>0.75426453629546997</v>
      </c>
      <c r="AC137" s="1">
        <v>41.5584292989384</v>
      </c>
    </row>
    <row r="138" spans="1:29" x14ac:dyDescent="0.2">
      <c r="A138" s="1" t="s">
        <v>537</v>
      </c>
      <c r="B138" s="1" t="str">
        <f t="shared" ca="1" si="2"/>
        <v>Open</v>
      </c>
      <c r="C138" s="1" t="s">
        <v>2770</v>
      </c>
      <c r="D138" s="1" t="s">
        <v>538</v>
      </c>
      <c r="E138" s="1" t="s">
        <v>539</v>
      </c>
      <c r="F138" s="1" t="s">
        <v>28</v>
      </c>
      <c r="G138" s="1" t="s">
        <v>540</v>
      </c>
      <c r="H138" s="24">
        <v>44666</v>
      </c>
      <c r="I138" s="1"/>
      <c r="J138" s="1">
        <v>47.916311999999998</v>
      </c>
      <c r="K138" s="1">
        <v>106.876064</v>
      </c>
      <c r="L138" s="20">
        <v>0</v>
      </c>
      <c r="M138" s="20">
        <v>0.99930555555555556</v>
      </c>
      <c r="N138" s="1">
        <v>0.88906013658404548</v>
      </c>
      <c r="O138" s="1">
        <v>154.65657377018044</v>
      </c>
      <c r="P138" s="1">
        <v>0.9793987434792113</v>
      </c>
      <c r="Q138" s="1">
        <v>56.078939426523284</v>
      </c>
      <c r="R138" s="1">
        <v>0.86553638551424505</v>
      </c>
      <c r="S138" s="1">
        <v>137.95557977207977</v>
      </c>
      <c r="T138" s="1">
        <v>0.81535477055161287</v>
      </c>
      <c r="U138" s="1">
        <v>44.126291756272394</v>
      </c>
      <c r="V138" s="1">
        <v>1.1082259047173977</v>
      </c>
      <c r="W138" s="1">
        <v>177.46605813865145</v>
      </c>
      <c r="X138" s="1">
        <v>0.77278782139283153</v>
      </c>
      <c r="Y138" s="1">
        <v>49.976310752688185</v>
      </c>
      <c r="Z138" s="1">
        <v>0.75760990175093923</v>
      </c>
      <c r="AA138" s="1">
        <v>158.31439291465375</v>
      </c>
      <c r="AB138" s="1">
        <v>0.7944492508348695</v>
      </c>
      <c r="AC138" s="1">
        <v>42.151175499231947</v>
      </c>
    </row>
    <row r="139" spans="1:29" x14ac:dyDescent="0.2">
      <c r="A139" s="1" t="s">
        <v>541</v>
      </c>
      <c r="B139" s="1" t="str">
        <f t="shared" ca="1" si="2"/>
        <v>Open</v>
      </c>
      <c r="C139" s="1" t="s">
        <v>2770</v>
      </c>
      <c r="D139" s="1" t="s">
        <v>542</v>
      </c>
      <c r="E139" s="1" t="s">
        <v>543</v>
      </c>
      <c r="F139" s="1" t="s">
        <v>11</v>
      </c>
      <c r="G139" s="1" t="s">
        <v>544</v>
      </c>
      <c r="H139" s="24">
        <v>44416</v>
      </c>
      <c r="I139" s="1"/>
      <c r="J139" s="1">
        <v>47.910870000000003</v>
      </c>
      <c r="K139" s="1">
        <v>106.907545</v>
      </c>
      <c r="L139" s="20">
        <v>0</v>
      </c>
      <c r="M139" s="20">
        <v>0.99930555555555556</v>
      </c>
      <c r="N139" s="1">
        <v>1.1290673966711684</v>
      </c>
      <c r="O139" s="1">
        <v>211.56569048433047</v>
      </c>
      <c r="P139" s="1">
        <v>1.4796608181021511</v>
      </c>
      <c r="Q139" s="1">
        <v>97.210834767025077</v>
      </c>
      <c r="R139" s="1">
        <v>1.1919992410080722</v>
      </c>
      <c r="S139" s="1">
        <v>198.98300569800571</v>
      </c>
      <c r="T139" s="1">
        <v>1.5140833402623659</v>
      </c>
      <c r="U139" s="1">
        <v>98.165145519713249</v>
      </c>
      <c r="V139" s="1">
        <v>1.3932802875822226</v>
      </c>
      <c r="W139" s="1">
        <v>239.54270436847105</v>
      </c>
      <c r="X139" s="1">
        <v>1.6746836138602148</v>
      </c>
      <c r="Y139" s="1">
        <v>103.97629498207887</v>
      </c>
      <c r="Z139" s="1">
        <v>0.87245372976972624</v>
      </c>
      <c r="AA139" s="1">
        <v>181.07429629629624</v>
      </c>
      <c r="AB139" s="1">
        <v>1.0838366459577573</v>
      </c>
      <c r="AC139" s="1">
        <v>76.031268817204293</v>
      </c>
    </row>
    <row r="140" spans="1:29" x14ac:dyDescent="0.2">
      <c r="A140" s="1" t="s">
        <v>545</v>
      </c>
      <c r="B140" s="1" t="str">
        <f t="shared" ca="1" si="2"/>
        <v>Open</v>
      </c>
      <c r="C140" s="1" t="s">
        <v>2770</v>
      </c>
      <c r="D140" s="1" t="s">
        <v>546</v>
      </c>
      <c r="E140" s="1" t="s">
        <v>547</v>
      </c>
      <c r="F140" s="1" t="s">
        <v>11</v>
      </c>
      <c r="G140" s="1" t="s">
        <v>548</v>
      </c>
      <c r="H140" s="24">
        <v>44432</v>
      </c>
      <c r="I140" s="1"/>
      <c r="J140" s="1">
        <v>47.933607000000002</v>
      </c>
      <c r="K140" s="1">
        <v>106.92059500000001</v>
      </c>
      <c r="L140" s="20">
        <v>0</v>
      </c>
      <c r="M140" s="20">
        <v>0.99930555555555556</v>
      </c>
      <c r="N140" s="1">
        <v>1.2006140430041785</v>
      </c>
      <c r="O140" s="1">
        <v>210.70612571699903</v>
      </c>
      <c r="P140" s="1">
        <v>1.1112055974792114</v>
      </c>
      <c r="Q140" s="1">
        <v>74.265560215053767</v>
      </c>
      <c r="R140" s="1">
        <v>1.0271899120341881</v>
      </c>
      <c r="S140" s="1">
        <v>148.60026068376069</v>
      </c>
      <c r="T140" s="1">
        <v>1.0346668288899641</v>
      </c>
      <c r="U140" s="1">
        <v>64.143508243727595</v>
      </c>
      <c r="V140" s="1">
        <v>1.1258080075121935</v>
      </c>
      <c r="W140" s="1">
        <v>167.85228822412157</v>
      </c>
      <c r="X140" s="1">
        <v>1.0562059336756271</v>
      </c>
      <c r="Y140" s="1">
        <v>64.761217562723999</v>
      </c>
      <c r="Z140" s="1">
        <v>1.0976266352388617</v>
      </c>
      <c r="AA140" s="1">
        <v>213.79122114868491</v>
      </c>
      <c r="AB140" s="1">
        <v>0.95642075914631342</v>
      </c>
      <c r="AC140" s="1">
        <v>62.900445084485398</v>
      </c>
    </row>
    <row r="141" spans="1:29" x14ac:dyDescent="0.2">
      <c r="A141" s="1" t="s">
        <v>549</v>
      </c>
      <c r="B141" s="1" t="str">
        <f t="shared" ca="1" si="2"/>
        <v>Open</v>
      </c>
      <c r="C141" s="1" t="s">
        <v>2770</v>
      </c>
      <c r="D141" s="1" t="s">
        <v>550</v>
      </c>
      <c r="E141" s="1" t="s">
        <v>551</v>
      </c>
      <c r="F141" s="1" t="s">
        <v>48</v>
      </c>
      <c r="G141" s="1" t="s">
        <v>552</v>
      </c>
      <c r="H141" s="24">
        <v>44449</v>
      </c>
      <c r="I141" s="1"/>
      <c r="J141" s="1">
        <v>47.919108000000001</v>
      </c>
      <c r="K141" s="1">
        <v>106.93561800000001</v>
      </c>
      <c r="L141" s="20">
        <v>0</v>
      </c>
      <c r="M141" s="20">
        <v>0.99930555555555556</v>
      </c>
      <c r="N141" s="1">
        <v>0.97572971436003808</v>
      </c>
      <c r="O141" s="1">
        <v>166.79699629629627</v>
      </c>
      <c r="P141" s="1">
        <v>1.4571502406534049</v>
      </c>
      <c r="Q141" s="1">
        <v>64.405192114695339</v>
      </c>
      <c r="R141" s="1">
        <v>1.049521202236942</v>
      </c>
      <c r="S141" s="1">
        <v>164.05758119658117</v>
      </c>
      <c r="T141" s="1">
        <v>1.4632950501903228</v>
      </c>
      <c r="U141" s="1">
        <v>69.416188172043007</v>
      </c>
      <c r="V141" s="1">
        <v>1.2870929662454937</v>
      </c>
      <c r="W141" s="1">
        <v>194.28959222222224</v>
      </c>
      <c r="X141" s="1">
        <v>1.5248287409670258</v>
      </c>
      <c r="Y141" s="1">
        <v>81.010257347670247</v>
      </c>
      <c r="Z141" s="1">
        <v>0.71655871530092574</v>
      </c>
      <c r="AA141" s="1">
        <v>133.86333487654318</v>
      </c>
      <c r="AB141" s="1">
        <v>0.99400130930913966</v>
      </c>
      <c r="AC141" s="1">
        <v>46.519533026113663</v>
      </c>
    </row>
    <row r="142" spans="1:29" x14ac:dyDescent="0.2">
      <c r="A142" s="1" t="s">
        <v>553</v>
      </c>
      <c r="B142" s="1" t="str">
        <f t="shared" ca="1" si="2"/>
        <v>Open</v>
      </c>
      <c r="C142" s="1" t="s">
        <v>2770</v>
      </c>
      <c r="D142" s="1" t="s">
        <v>554</v>
      </c>
      <c r="E142" s="1" t="s">
        <v>555</v>
      </c>
      <c r="F142" s="1" t="s">
        <v>64</v>
      </c>
      <c r="G142" s="1" t="s">
        <v>556</v>
      </c>
      <c r="H142" s="24">
        <v>44443</v>
      </c>
      <c r="I142" s="1"/>
      <c r="J142" s="1">
        <v>47.902338</v>
      </c>
      <c r="K142" s="1">
        <v>106.88594399999999</v>
      </c>
      <c r="L142" s="20">
        <v>0</v>
      </c>
      <c r="M142" s="20">
        <v>0.99930555555555556</v>
      </c>
      <c r="N142" s="1">
        <v>0.9202309264507692</v>
      </c>
      <c r="O142" s="1">
        <v>185.403779354226</v>
      </c>
      <c r="P142" s="1">
        <v>1.6082159463146957</v>
      </c>
      <c r="Q142" s="1">
        <v>46.845089964157701</v>
      </c>
      <c r="R142" s="1">
        <v>0.93484515120119671</v>
      </c>
      <c r="S142" s="1">
        <v>161.13612712250711</v>
      </c>
      <c r="T142" s="1">
        <v>1.230986240736917</v>
      </c>
      <c r="U142" s="1">
        <v>44.592540501792115</v>
      </c>
      <c r="V142" s="1">
        <v>1.0814435047453845</v>
      </c>
      <c r="W142" s="1">
        <v>187.71548965811965</v>
      </c>
      <c r="X142" s="1">
        <v>1.112588827838467</v>
      </c>
      <c r="Y142" s="1">
        <v>47.012964904024422</v>
      </c>
      <c r="Z142" s="1">
        <v>0.81996663459261343</v>
      </c>
      <c r="AA142" s="1">
        <v>184.31098418596969</v>
      </c>
      <c r="AB142" s="1">
        <v>1.6197489924385564</v>
      </c>
      <c r="AC142" s="1">
        <v>41.055160522273432</v>
      </c>
    </row>
    <row r="143" spans="1:29" x14ac:dyDescent="0.2">
      <c r="A143" s="1" t="s">
        <v>557</v>
      </c>
      <c r="B143" s="1" t="str">
        <f t="shared" ca="1" si="2"/>
        <v>Closed</v>
      </c>
      <c r="C143" s="1" t="s">
        <v>2770</v>
      </c>
      <c r="D143" s="1" t="s">
        <v>558</v>
      </c>
      <c r="E143" s="1" t="s">
        <v>559</v>
      </c>
      <c r="F143" s="1" t="s">
        <v>145</v>
      </c>
      <c r="G143" s="1" t="s">
        <v>560</v>
      </c>
      <c r="H143" s="24">
        <v>44449</v>
      </c>
      <c r="I143" s="24">
        <v>44926</v>
      </c>
      <c r="J143" s="1">
        <v>47.915357499999999</v>
      </c>
      <c r="K143" s="1">
        <v>106.84666900000001</v>
      </c>
      <c r="L143" s="20">
        <v>0.29166666666666669</v>
      </c>
      <c r="M143" s="20">
        <v>0.99930555555555556</v>
      </c>
      <c r="N143" s="1">
        <v>0.73639092957822683</v>
      </c>
      <c r="O143" s="1">
        <v>120.83034189340572</v>
      </c>
      <c r="P143" s="1">
        <v>1.0305683280225519</v>
      </c>
      <c r="Q143" s="1">
        <v>50.741335744455974</v>
      </c>
      <c r="R143" s="1">
        <v>0.77505565528977927</v>
      </c>
      <c r="S143" s="1">
        <v>110.38798636394478</v>
      </c>
      <c r="T143" s="1">
        <v>0.95323771147676561</v>
      </c>
      <c r="U143" s="1">
        <v>50.072527276006774</v>
      </c>
      <c r="V143" s="1">
        <v>0.92053739661526512</v>
      </c>
      <c r="W143" s="1">
        <v>133.18199833686319</v>
      </c>
      <c r="X143" s="1">
        <v>1.0622171211785376</v>
      </c>
      <c r="Y143" s="1">
        <v>52.728527320208435</v>
      </c>
      <c r="Z143" s="1">
        <v>0.61668712407906823</v>
      </c>
      <c r="AA143" s="1">
        <v>111.42882484304808</v>
      </c>
      <c r="AB143" s="1">
        <v>0.75426453629546997</v>
      </c>
      <c r="AC143" s="1">
        <v>41.5584292989384</v>
      </c>
    </row>
    <row r="144" spans="1:29" x14ac:dyDescent="0.2">
      <c r="A144" s="1" t="s">
        <v>561</v>
      </c>
      <c r="B144" s="1" t="str">
        <f t="shared" ca="1" si="2"/>
        <v>Open</v>
      </c>
      <c r="C144" s="1" t="s">
        <v>2770</v>
      </c>
      <c r="D144" s="1" t="s">
        <v>2610</v>
      </c>
      <c r="E144" s="1" t="s">
        <v>2630</v>
      </c>
      <c r="F144" s="1" t="s">
        <v>48</v>
      </c>
      <c r="G144" s="1" t="s">
        <v>562</v>
      </c>
      <c r="H144" s="24">
        <v>44471</v>
      </c>
      <c r="I144" s="1"/>
      <c r="J144" s="1">
        <v>47.923907</v>
      </c>
      <c r="K144" s="1">
        <v>106.98243600000001</v>
      </c>
      <c r="L144" s="20">
        <v>0</v>
      </c>
      <c r="M144" s="20">
        <v>0.99930555555555556</v>
      </c>
      <c r="N144" s="1">
        <v>1.1966617521592442</v>
      </c>
      <c r="O144" s="1">
        <v>179.80981983805668</v>
      </c>
      <c r="P144" s="1">
        <v>0.88015323926282196</v>
      </c>
      <c r="Q144" s="1">
        <v>51.694199087650681</v>
      </c>
      <c r="R144" s="1">
        <v>1.2662599721538461</v>
      </c>
      <c r="S144" s="1">
        <v>171.05802849002851</v>
      </c>
      <c r="T144" s="1">
        <v>1.0042424125261649</v>
      </c>
      <c r="U144" s="1">
        <v>47.64498566308243</v>
      </c>
      <c r="V144" s="1">
        <v>1.3405090044975687</v>
      </c>
      <c r="W144" s="1">
        <v>172.59731160493826</v>
      </c>
      <c r="X144" s="1">
        <v>0.95939510060573496</v>
      </c>
      <c r="Y144" s="1">
        <v>56.049263440860223</v>
      </c>
      <c r="Z144" s="1">
        <v>1.1326381786001345</v>
      </c>
      <c r="AA144" s="1">
        <v>208.63486629092861</v>
      </c>
      <c r="AB144" s="1">
        <v>0.73163046085829508</v>
      </c>
      <c r="AC144" s="1">
        <v>47.494882488479277</v>
      </c>
    </row>
    <row r="145" spans="1:29" x14ac:dyDescent="0.2">
      <c r="A145" s="1" t="s">
        <v>563</v>
      </c>
      <c r="B145" s="1" t="str">
        <f t="shared" ca="1" si="2"/>
        <v>Open</v>
      </c>
      <c r="C145" s="1" t="s">
        <v>2770</v>
      </c>
      <c r="D145" s="1" t="s">
        <v>564</v>
      </c>
      <c r="E145" s="1" t="s">
        <v>565</v>
      </c>
      <c r="F145" s="1" t="s">
        <v>28</v>
      </c>
      <c r="G145" s="1" t="s">
        <v>566</v>
      </c>
      <c r="H145" s="24">
        <v>44585</v>
      </c>
      <c r="I145" s="1"/>
      <c r="J145" s="1">
        <v>47.923146000000003</v>
      </c>
      <c r="K145" s="1">
        <v>106.88043999999999</v>
      </c>
      <c r="L145" s="20">
        <v>0.29166666666666669</v>
      </c>
      <c r="M145" s="20">
        <v>0.99930555555555556</v>
      </c>
      <c r="N145" s="1">
        <v>0.48418951679540373</v>
      </c>
      <c r="O145" s="1">
        <v>85.865259335232665</v>
      </c>
      <c r="P145" s="1">
        <v>0.50022493130465939</v>
      </c>
      <c r="Q145" s="1">
        <v>38.57039068100358</v>
      </c>
      <c r="R145" s="1">
        <v>0.52217733895251672</v>
      </c>
      <c r="S145" s="1">
        <v>74.941660018993346</v>
      </c>
      <c r="T145" s="1">
        <v>0.52356653072759862</v>
      </c>
      <c r="U145" s="1">
        <v>38.802928673835119</v>
      </c>
      <c r="V145" s="1">
        <v>0.75992190243068392</v>
      </c>
      <c r="W145" s="1">
        <v>108.5935576923077</v>
      </c>
      <c r="X145" s="1">
        <v>0.70241502207415385</v>
      </c>
      <c r="Y145" s="1">
        <v>43.1972381919554</v>
      </c>
      <c r="Z145" s="1">
        <v>0.41459607031124102</v>
      </c>
      <c r="AA145" s="1">
        <v>78.621161793372309</v>
      </c>
      <c r="AB145" s="1">
        <v>0.4699896253014888</v>
      </c>
      <c r="AC145" s="1">
        <v>38.956653846153841</v>
      </c>
    </row>
    <row r="146" spans="1:29" x14ac:dyDescent="0.2">
      <c r="A146" s="1" t="s">
        <v>567</v>
      </c>
      <c r="B146" s="1" t="str">
        <f t="shared" ca="1" si="2"/>
        <v>Open</v>
      </c>
      <c r="C146" s="1" t="s">
        <v>2770</v>
      </c>
      <c r="D146" s="1" t="s">
        <v>568</v>
      </c>
      <c r="E146" s="1" t="s">
        <v>569</v>
      </c>
      <c r="F146" s="1" t="s">
        <v>33</v>
      </c>
      <c r="G146" s="1" t="s">
        <v>570</v>
      </c>
      <c r="H146" s="24">
        <v>44487</v>
      </c>
      <c r="I146" s="1"/>
      <c r="J146" s="1">
        <v>47.961570999999999</v>
      </c>
      <c r="K146" s="1">
        <v>106.89659899999999</v>
      </c>
      <c r="L146" s="20">
        <v>0</v>
      </c>
      <c r="M146" s="20">
        <v>0.99930555555555556</v>
      </c>
      <c r="N146" s="1">
        <v>0.91276164000938265</v>
      </c>
      <c r="O146" s="1">
        <v>149.87633853751188</v>
      </c>
      <c r="P146" s="1">
        <v>1.2947101476387095</v>
      </c>
      <c r="Q146" s="1">
        <v>84.419053405017948</v>
      </c>
      <c r="R146" s="1">
        <v>0.95136607999240275</v>
      </c>
      <c r="S146" s="1">
        <v>121.32806980056979</v>
      </c>
      <c r="T146" s="1">
        <v>1.0092324594530468</v>
      </c>
      <c r="U146" s="1">
        <v>69.317806810035847</v>
      </c>
      <c r="V146" s="1">
        <v>1.073691989771909</v>
      </c>
      <c r="W146" s="1">
        <v>137.85197599240266</v>
      </c>
      <c r="X146" s="1">
        <v>1.0087183521867382</v>
      </c>
      <c r="Y146" s="1">
        <v>66.075945161290335</v>
      </c>
      <c r="Z146" s="1">
        <v>0.95755486518894262</v>
      </c>
      <c r="AA146" s="1">
        <v>188.05959473966723</v>
      </c>
      <c r="AB146" s="1">
        <v>0.97188261494047623</v>
      </c>
      <c r="AC146" s="1">
        <v>63.473291474654367</v>
      </c>
    </row>
    <row r="147" spans="1:29" x14ac:dyDescent="0.2">
      <c r="A147" s="1" t="s">
        <v>571</v>
      </c>
      <c r="B147" s="1" t="str">
        <f t="shared" ca="1" si="2"/>
        <v>Open</v>
      </c>
      <c r="C147" s="1" t="s">
        <v>2770</v>
      </c>
      <c r="D147" s="1" t="s">
        <v>572</v>
      </c>
      <c r="E147" s="1" t="s">
        <v>573</v>
      </c>
      <c r="F147" s="1" t="s">
        <v>48</v>
      </c>
      <c r="G147" s="1" t="s">
        <v>574</v>
      </c>
      <c r="H147" s="24">
        <v>44503</v>
      </c>
      <c r="I147" s="1"/>
      <c r="J147" s="1">
        <v>47.905501000000001</v>
      </c>
      <c r="K147" s="1">
        <v>106.93055099999999</v>
      </c>
      <c r="L147" s="20">
        <v>0.29166666666666669</v>
      </c>
      <c r="M147" s="20">
        <v>0.99930555555555556</v>
      </c>
      <c r="N147" s="1">
        <v>0.3367460876647293</v>
      </c>
      <c r="O147" s="1">
        <v>54.488739183285851</v>
      </c>
      <c r="P147" s="1">
        <v>1.0018208282931902</v>
      </c>
      <c r="Q147" s="1">
        <v>32.389045161290326</v>
      </c>
      <c r="R147" s="1">
        <v>0.33255581469895534</v>
      </c>
      <c r="S147" s="1">
        <v>52.945204178537516</v>
      </c>
      <c r="T147" s="1">
        <v>0.8956329573598566</v>
      </c>
      <c r="U147" s="1">
        <v>32.460911111111109</v>
      </c>
      <c r="V147" s="1">
        <v>0.42240643672976264</v>
      </c>
      <c r="W147" s="1">
        <v>65.612716524216523</v>
      </c>
      <c r="X147" s="1">
        <v>0.99466366248387084</v>
      </c>
      <c r="Y147" s="1">
        <v>33.8215559139785</v>
      </c>
      <c r="Z147" s="1">
        <v>0.29511295739452487</v>
      </c>
      <c r="AA147" s="1">
        <v>54.241610842726779</v>
      </c>
      <c r="AB147" s="1">
        <v>0.44721935949001529</v>
      </c>
      <c r="AC147" s="1">
        <v>26.41311213517665</v>
      </c>
    </row>
    <row r="148" spans="1:29" x14ac:dyDescent="0.2">
      <c r="A148" s="1" t="s">
        <v>575</v>
      </c>
      <c r="B148" s="1" t="str">
        <f t="shared" ca="1" si="2"/>
        <v>Open</v>
      </c>
      <c r="C148" s="1" t="s">
        <v>2770</v>
      </c>
      <c r="D148" s="1" t="s">
        <v>576</v>
      </c>
      <c r="E148" s="1" t="s">
        <v>577</v>
      </c>
      <c r="F148" s="1" t="s">
        <v>28</v>
      </c>
      <c r="G148" s="1" t="s">
        <v>578</v>
      </c>
      <c r="H148" s="24">
        <v>44514</v>
      </c>
      <c r="I148" s="1"/>
      <c r="J148" s="1">
        <v>47.912618000000002</v>
      </c>
      <c r="K148" s="1">
        <v>106.888082</v>
      </c>
      <c r="L148" s="20">
        <v>0</v>
      </c>
      <c r="M148" s="20">
        <v>0.99930555555555556</v>
      </c>
      <c r="N148" s="1">
        <v>0.84256042431162381</v>
      </c>
      <c r="O148" s="1">
        <v>151.04969886039888</v>
      </c>
      <c r="P148" s="1">
        <v>0.8259258662720429</v>
      </c>
      <c r="Q148" s="1">
        <v>42.977187096774195</v>
      </c>
      <c r="R148" s="1">
        <v>0.83132340316666653</v>
      </c>
      <c r="S148" s="1">
        <v>138.29298290598291</v>
      </c>
      <c r="T148" s="1">
        <v>1.0326027739501791</v>
      </c>
      <c r="U148" s="1">
        <v>48.832740143369186</v>
      </c>
      <c r="V148" s="1">
        <v>0.97744663704645773</v>
      </c>
      <c r="W148" s="1">
        <v>167.40243272554611</v>
      </c>
      <c r="X148" s="1">
        <v>1.0440854118225806</v>
      </c>
      <c r="Y148" s="1">
        <v>51.442282078853033</v>
      </c>
      <c r="Z148" s="1">
        <v>0.77071132487278593</v>
      </c>
      <c r="AA148" s="1">
        <v>143.62589908749325</v>
      </c>
      <c r="AB148" s="1">
        <v>0.72963007002265734</v>
      </c>
      <c r="AC148" s="1">
        <v>41.307028033794161</v>
      </c>
    </row>
    <row r="149" spans="1:29" x14ac:dyDescent="0.2">
      <c r="A149" s="1" t="s">
        <v>579</v>
      </c>
      <c r="B149" s="1" t="str">
        <f t="shared" ca="1" si="2"/>
        <v>Open</v>
      </c>
      <c r="C149" s="1" t="s">
        <v>2770</v>
      </c>
      <c r="D149" s="1" t="s">
        <v>580</v>
      </c>
      <c r="E149" s="1" t="s">
        <v>581</v>
      </c>
      <c r="F149" s="1" t="s">
        <v>64</v>
      </c>
      <c r="G149" s="1" t="s">
        <v>582</v>
      </c>
      <c r="H149" s="24">
        <v>44498</v>
      </c>
      <c r="I149" s="1"/>
      <c r="J149" s="1">
        <v>47.890968999999998</v>
      </c>
      <c r="K149" s="1">
        <v>106.894758</v>
      </c>
      <c r="L149" s="20">
        <v>0.29166666666666669</v>
      </c>
      <c r="M149" s="20">
        <v>0.99930555555555556</v>
      </c>
      <c r="N149" s="1">
        <v>0.53129397395276357</v>
      </c>
      <c r="O149" s="1">
        <v>88.89838153846155</v>
      </c>
      <c r="P149" s="1">
        <v>2.6603033224813615</v>
      </c>
      <c r="Q149" s="1">
        <v>44.30196344086022</v>
      </c>
      <c r="R149" s="1">
        <v>0.5457539104852801</v>
      </c>
      <c r="S149" s="1">
        <v>82.115456790123446</v>
      </c>
      <c r="T149" s="1">
        <v>2.2049903107964166</v>
      </c>
      <c r="U149" s="1">
        <v>45.138275627240127</v>
      </c>
      <c r="V149" s="1">
        <v>0.68360077489603055</v>
      </c>
      <c r="W149" s="1">
        <v>103.26810415954414</v>
      </c>
      <c r="X149" s="1">
        <v>2.0880866596494623</v>
      </c>
      <c r="Y149" s="1">
        <v>47.514097132616484</v>
      </c>
      <c r="Z149" s="1">
        <v>0.47440384513804706</v>
      </c>
      <c r="AA149" s="1">
        <v>90.733662177328867</v>
      </c>
      <c r="AB149" s="1">
        <v>2.3007032949927031</v>
      </c>
      <c r="AC149" s="1">
        <v>40.453258832565282</v>
      </c>
    </row>
    <row r="150" spans="1:29" x14ac:dyDescent="0.2">
      <c r="A150" s="1" t="s">
        <v>583</v>
      </c>
      <c r="B150" s="1" t="str">
        <f t="shared" ca="1" si="2"/>
        <v>Open</v>
      </c>
      <c r="C150" s="1" t="s">
        <v>2770</v>
      </c>
      <c r="D150" s="1" t="s">
        <v>584</v>
      </c>
      <c r="E150" s="1" t="s">
        <v>585</v>
      </c>
      <c r="F150" s="1" t="s">
        <v>64</v>
      </c>
      <c r="G150" s="1" t="s">
        <v>586</v>
      </c>
      <c r="H150" s="24">
        <v>44514</v>
      </c>
      <c r="I150" s="1"/>
      <c r="J150" s="1">
        <v>47.904434999999999</v>
      </c>
      <c r="K150" s="1">
        <v>106.926683</v>
      </c>
      <c r="L150" s="20">
        <v>0.29166666666666669</v>
      </c>
      <c r="M150" s="20">
        <v>0.99930555555555556</v>
      </c>
      <c r="N150" s="1">
        <v>0.4194588457571225</v>
      </c>
      <c r="O150" s="1">
        <v>70.208502611585956</v>
      </c>
      <c r="P150" s="1">
        <v>1.0012575160344832</v>
      </c>
      <c r="Q150" s="1">
        <v>28.726067432950199</v>
      </c>
      <c r="R150" s="1">
        <v>0.47819916063948725</v>
      </c>
      <c r="S150" s="1">
        <v>77.990415341880336</v>
      </c>
      <c r="T150" s="1">
        <v>0.74003430669558756</v>
      </c>
      <c r="U150" s="1">
        <v>33.697490174267706</v>
      </c>
      <c r="V150" s="1">
        <v>0.51888332335728382</v>
      </c>
      <c r="W150" s="1">
        <v>79.745670997150981</v>
      </c>
      <c r="X150" s="1">
        <v>1.0324944217616485</v>
      </c>
      <c r="Y150" s="1">
        <v>32.946143369175637</v>
      </c>
      <c r="Z150" s="1">
        <v>0.27615213038701025</v>
      </c>
      <c r="AA150" s="1">
        <v>44.230454106280199</v>
      </c>
      <c r="AB150" s="1">
        <v>0.72425146435445475</v>
      </c>
      <c r="AC150" s="1">
        <v>22.198396697388645</v>
      </c>
    </row>
    <row r="151" spans="1:29" x14ac:dyDescent="0.2">
      <c r="A151" s="1" t="s">
        <v>587</v>
      </c>
      <c r="B151" s="1" t="str">
        <f t="shared" ca="1" si="2"/>
        <v>Open</v>
      </c>
      <c r="C151" s="1" t="s">
        <v>2770</v>
      </c>
      <c r="D151" s="1" t="s">
        <v>588</v>
      </c>
      <c r="E151" s="1" t="s">
        <v>589</v>
      </c>
      <c r="F151" s="1" t="s">
        <v>11</v>
      </c>
      <c r="G151" s="1" t="s">
        <v>590</v>
      </c>
      <c r="H151" s="24">
        <v>44516</v>
      </c>
      <c r="I151" s="1"/>
      <c r="J151" s="1">
        <v>47.969329999999999</v>
      </c>
      <c r="K151" s="1">
        <v>106.918052</v>
      </c>
      <c r="L151" s="20">
        <v>0</v>
      </c>
      <c r="M151" s="20">
        <v>0.99930555555555556</v>
      </c>
      <c r="N151" s="1">
        <v>0.79273754068336177</v>
      </c>
      <c r="O151" s="1">
        <v>112.05729933523266</v>
      </c>
      <c r="P151" s="1">
        <v>0.96903680898084288</v>
      </c>
      <c r="Q151" s="1">
        <v>51.792372796934863</v>
      </c>
      <c r="R151" s="1">
        <v>0.84621823688084474</v>
      </c>
      <c r="S151" s="1">
        <v>111.18652714932125</v>
      </c>
      <c r="T151" s="1">
        <v>1.1894451708280702</v>
      </c>
      <c r="U151" s="1">
        <v>60.8383865497076</v>
      </c>
      <c r="V151" s="1">
        <v>1.2114777075569612</v>
      </c>
      <c r="W151" s="1">
        <v>181.30384883190882</v>
      </c>
      <c r="X151" s="1">
        <v>1.4328698633282289</v>
      </c>
      <c r="Y151" s="1">
        <v>71.506531578296858</v>
      </c>
      <c r="Z151" s="1">
        <v>0.70422972445142251</v>
      </c>
      <c r="AA151" s="1">
        <v>124.89503757380568</v>
      </c>
      <c r="AB151" s="1">
        <v>1.1657624434968663</v>
      </c>
      <c r="AC151" s="1">
        <v>50.581651735791105</v>
      </c>
    </row>
    <row r="152" spans="1:29" x14ac:dyDescent="0.2">
      <c r="A152" s="1" t="s">
        <v>591</v>
      </c>
      <c r="B152" s="1" t="str">
        <f t="shared" ca="1" si="2"/>
        <v>Open</v>
      </c>
      <c r="C152" s="1" t="s">
        <v>2770</v>
      </c>
      <c r="D152" s="1" t="s">
        <v>592</v>
      </c>
      <c r="E152" s="1" t="s">
        <v>593</v>
      </c>
      <c r="F152" s="1" t="s">
        <v>48</v>
      </c>
      <c r="G152" s="1" t="s">
        <v>594</v>
      </c>
      <c r="H152" s="24">
        <v>44586</v>
      </c>
      <c r="I152" s="1"/>
      <c r="J152" s="1">
        <v>47.912224999999999</v>
      </c>
      <c r="K152" s="1">
        <v>106.93189700000001</v>
      </c>
      <c r="L152" s="20">
        <v>0</v>
      </c>
      <c r="M152" s="20">
        <v>0.99930555555555556</v>
      </c>
      <c r="N152" s="1">
        <v>0.60285370017595452</v>
      </c>
      <c r="O152" s="1">
        <v>106.09689080721749</v>
      </c>
      <c r="P152" s="1">
        <v>0.86144807485770603</v>
      </c>
      <c r="Q152" s="1">
        <v>53.286885663082437</v>
      </c>
      <c r="R152" s="1">
        <v>0.69433589639363724</v>
      </c>
      <c r="S152" s="1">
        <v>116.18387891737889</v>
      </c>
      <c r="T152" s="1">
        <v>1.0659886362211473</v>
      </c>
      <c r="U152" s="1">
        <v>60.880224014336903</v>
      </c>
      <c r="V152" s="1">
        <v>0.73795015443553658</v>
      </c>
      <c r="W152" s="1">
        <v>117.55003857549859</v>
      </c>
      <c r="X152" s="1">
        <v>1.0035998101759855</v>
      </c>
      <c r="Y152" s="1">
        <v>53.117158781362008</v>
      </c>
      <c r="Z152" s="1">
        <v>0.58091824002683834</v>
      </c>
      <c r="AA152" s="1">
        <v>122.48916156736448</v>
      </c>
      <c r="AB152" s="1">
        <v>0.75996135485867866</v>
      </c>
      <c r="AC152" s="1">
        <v>55.741362135176644</v>
      </c>
    </row>
    <row r="153" spans="1:29" x14ac:dyDescent="0.2">
      <c r="A153" s="1" t="s">
        <v>595</v>
      </c>
      <c r="B153" s="1" t="str">
        <f t="shared" ca="1" si="2"/>
        <v>Open</v>
      </c>
      <c r="C153" s="1" t="s">
        <v>2770</v>
      </c>
      <c r="D153" s="1" t="s">
        <v>596</v>
      </c>
      <c r="E153" s="1" t="s">
        <v>597</v>
      </c>
      <c r="F153" s="1" t="s">
        <v>145</v>
      </c>
      <c r="G153" s="1" t="s">
        <v>598</v>
      </c>
      <c r="H153" s="24">
        <v>44586</v>
      </c>
      <c r="I153" s="1"/>
      <c r="J153" s="1">
        <v>47.921339000000003</v>
      </c>
      <c r="K153" s="1">
        <v>106.814667</v>
      </c>
      <c r="L153" s="20">
        <v>0</v>
      </c>
      <c r="M153" s="20">
        <v>0.99930555555555556</v>
      </c>
      <c r="N153" s="1">
        <v>0.94150001849806275</v>
      </c>
      <c r="O153" s="1">
        <v>142.84080474833812</v>
      </c>
      <c r="P153" s="1">
        <v>1.1892491227580646</v>
      </c>
      <c r="Q153" s="1">
        <v>91.666119354838713</v>
      </c>
      <c r="R153" s="1">
        <v>0.97898364075546063</v>
      </c>
      <c r="S153" s="1">
        <v>125.10832573599238</v>
      </c>
      <c r="T153" s="1">
        <v>1.0693516290476699</v>
      </c>
      <c r="U153" s="1">
        <v>79.474165232974912</v>
      </c>
      <c r="V153" s="1">
        <v>1.1046526877084519</v>
      </c>
      <c r="W153" s="1">
        <v>141.18361359924026</v>
      </c>
      <c r="X153" s="1">
        <v>1.0932479145964156</v>
      </c>
      <c r="Y153" s="1">
        <v>78.486946236559149</v>
      </c>
      <c r="Z153" s="1">
        <v>0.8183208355088567</v>
      </c>
      <c r="AA153" s="1">
        <v>133.1076296296296</v>
      </c>
      <c r="AB153" s="1">
        <v>1.0236933441716589</v>
      </c>
      <c r="AC153" s="1">
        <v>73.389930491551453</v>
      </c>
    </row>
    <row r="154" spans="1:29" x14ac:dyDescent="0.2">
      <c r="A154" s="1" t="s">
        <v>599</v>
      </c>
      <c r="B154" s="1" t="str">
        <f t="shared" ca="1" si="2"/>
        <v>Open</v>
      </c>
      <c r="C154" s="1" t="s">
        <v>2770</v>
      </c>
      <c r="D154" s="1" t="s">
        <v>600</v>
      </c>
      <c r="E154" s="1" t="s">
        <v>601</v>
      </c>
      <c r="F154" s="1" t="s">
        <v>48</v>
      </c>
      <c r="G154" s="1" t="s">
        <v>602</v>
      </c>
      <c r="H154" s="24">
        <v>44516</v>
      </c>
      <c r="I154" s="1"/>
      <c r="J154" s="1">
        <v>47.920189999999998</v>
      </c>
      <c r="K154" s="1">
        <v>106.95962299999999</v>
      </c>
      <c r="L154" s="20">
        <v>0.29166666666666669</v>
      </c>
      <c r="M154" s="20">
        <v>0.99930555555555556</v>
      </c>
      <c r="N154" s="1">
        <v>0.435766860711643</v>
      </c>
      <c r="O154" s="1">
        <v>74.206843380816693</v>
      </c>
      <c r="P154" s="1">
        <v>0.76805320617132633</v>
      </c>
      <c r="Q154" s="1">
        <v>55.513975268817205</v>
      </c>
      <c r="R154" s="1">
        <v>0.45366742116999048</v>
      </c>
      <c r="S154" s="1">
        <v>59.726830959164282</v>
      </c>
      <c r="T154" s="1">
        <v>0.70036372374121869</v>
      </c>
      <c r="U154" s="1">
        <v>53.204521863799279</v>
      </c>
      <c r="V154" s="1">
        <v>0.39032264625751184</v>
      </c>
      <c r="W154" s="1">
        <v>60.206276163342828</v>
      </c>
      <c r="X154" s="1">
        <v>0.54267457076523307</v>
      </c>
      <c r="Y154" s="1">
        <v>33.941287813620072</v>
      </c>
      <c r="Z154" s="1">
        <v>0.34868257362587229</v>
      </c>
      <c r="AA154" s="1">
        <v>64.228391841116476</v>
      </c>
      <c r="AB154" s="1">
        <v>0.53485961039746532</v>
      </c>
      <c r="AC154" s="1">
        <v>40.478325652841789</v>
      </c>
    </row>
    <row r="155" spans="1:29" x14ac:dyDescent="0.2">
      <c r="A155" s="1" t="s">
        <v>603</v>
      </c>
      <c r="B155" s="1" t="str">
        <f t="shared" ca="1" si="2"/>
        <v>Open</v>
      </c>
      <c r="C155" s="1" t="s">
        <v>2770</v>
      </c>
      <c r="D155" s="1" t="s">
        <v>604</v>
      </c>
      <c r="E155" s="1" t="s">
        <v>605</v>
      </c>
      <c r="F155" s="1" t="s">
        <v>48</v>
      </c>
      <c r="G155" s="1" t="s">
        <v>606</v>
      </c>
      <c r="H155" s="24">
        <v>44520</v>
      </c>
      <c r="I155" s="1"/>
      <c r="J155" s="1">
        <v>47.923412999999996</v>
      </c>
      <c r="K155" s="1">
        <v>106.952798</v>
      </c>
      <c r="L155" s="20">
        <v>0</v>
      </c>
      <c r="M155" s="20">
        <v>0.99930555555555556</v>
      </c>
      <c r="N155" s="1">
        <v>0.84164229271998092</v>
      </c>
      <c r="O155" s="1">
        <v>130.53095363722696</v>
      </c>
      <c r="P155" s="1">
        <v>1.1918695944695339</v>
      </c>
      <c r="Q155" s="1">
        <v>57.009913620071679</v>
      </c>
      <c r="R155" s="1">
        <v>0.84384470895726515</v>
      </c>
      <c r="S155" s="1">
        <v>116.65042592592592</v>
      </c>
      <c r="T155" s="1">
        <v>1.0747894374243727</v>
      </c>
      <c r="U155" s="1">
        <v>62.772817921146952</v>
      </c>
      <c r="V155" s="1">
        <v>0.75013308589546046</v>
      </c>
      <c r="W155" s="1">
        <v>106.80952828110162</v>
      </c>
      <c r="X155" s="1">
        <v>1.0247731065437278</v>
      </c>
      <c r="Y155" s="1">
        <v>45.834285663082447</v>
      </c>
      <c r="Z155" s="1">
        <v>0.66138580905582389</v>
      </c>
      <c r="AA155" s="1">
        <v>113.51933655394525</v>
      </c>
      <c r="AB155" s="1">
        <v>0.79691200433717324</v>
      </c>
      <c r="AC155" s="1">
        <v>41.77882795698924</v>
      </c>
    </row>
    <row r="156" spans="1:29" x14ac:dyDescent="0.2">
      <c r="A156" s="1" t="s">
        <v>607</v>
      </c>
      <c r="B156" s="1" t="str">
        <f t="shared" ca="1" si="2"/>
        <v>Open</v>
      </c>
      <c r="C156" s="1" t="s">
        <v>2770</v>
      </c>
      <c r="D156" s="1" t="s">
        <v>608</v>
      </c>
      <c r="E156" s="1" t="s">
        <v>609</v>
      </c>
      <c r="F156" s="1" t="s">
        <v>48</v>
      </c>
      <c r="G156" s="1" t="s">
        <v>610</v>
      </c>
      <c r="H156" s="24">
        <v>44518</v>
      </c>
      <c r="I156" s="1"/>
      <c r="J156" s="1">
        <v>47.924225</v>
      </c>
      <c r="K156" s="1">
        <v>106.94024899999999</v>
      </c>
      <c r="L156" s="20">
        <v>0</v>
      </c>
      <c r="M156" s="20">
        <v>0.99930555555555556</v>
      </c>
      <c r="N156" s="1">
        <v>0.85658567606195612</v>
      </c>
      <c r="O156" s="1">
        <v>154.78274930674266</v>
      </c>
      <c r="P156" s="1">
        <v>1.1271912212093189</v>
      </c>
      <c r="Q156" s="1">
        <v>63.84351756272401</v>
      </c>
      <c r="R156" s="1">
        <v>0.79458553984947766</v>
      </c>
      <c r="S156" s="1">
        <v>122.51783190883191</v>
      </c>
      <c r="T156" s="1">
        <v>0.88491296129318986</v>
      </c>
      <c r="U156" s="1">
        <v>56.883569892473112</v>
      </c>
      <c r="V156" s="1">
        <v>0.99971637954657178</v>
      </c>
      <c r="W156" s="1">
        <v>168.72550613485282</v>
      </c>
      <c r="X156" s="1">
        <v>0.9289460206627238</v>
      </c>
      <c r="Y156" s="1">
        <v>54.888402867383519</v>
      </c>
      <c r="Z156" s="1">
        <v>0.74405694245894838</v>
      </c>
      <c r="AA156" s="1">
        <v>175.92522187688851</v>
      </c>
      <c r="AB156" s="1">
        <v>0.84784172869239616</v>
      </c>
      <c r="AC156" s="1">
        <v>46.193137480798761</v>
      </c>
    </row>
    <row r="157" spans="1:29" x14ac:dyDescent="0.2">
      <c r="A157" s="1" t="s">
        <v>611</v>
      </c>
      <c r="B157" s="1" t="str">
        <f t="shared" ca="1" si="2"/>
        <v>Open</v>
      </c>
      <c r="C157" s="1" t="s">
        <v>2770</v>
      </c>
      <c r="D157" s="1" t="s">
        <v>612</v>
      </c>
      <c r="E157" s="1" t="s">
        <v>613</v>
      </c>
      <c r="F157" s="1" t="s">
        <v>28</v>
      </c>
      <c r="G157" s="1" t="s">
        <v>614</v>
      </c>
      <c r="H157" s="24">
        <v>44533</v>
      </c>
      <c r="I157" s="1"/>
      <c r="J157" s="1">
        <v>47.922257000000002</v>
      </c>
      <c r="K157" s="1">
        <v>106.88915900000001</v>
      </c>
      <c r="L157" s="20">
        <v>0.29166666666666669</v>
      </c>
      <c r="M157" s="20">
        <v>0.99930555555555556</v>
      </c>
      <c r="N157" s="1">
        <v>0.40900035742231716</v>
      </c>
      <c r="O157" s="1">
        <v>67.90927253561253</v>
      </c>
      <c r="P157" s="1">
        <v>0.80559487305448041</v>
      </c>
      <c r="Q157" s="1">
        <v>33.987811469534059</v>
      </c>
      <c r="R157" s="1">
        <v>0.42950424157929729</v>
      </c>
      <c r="S157" s="1">
        <v>64.649545109211772</v>
      </c>
      <c r="T157" s="1">
        <v>0.72576424837419362</v>
      </c>
      <c r="U157" s="1">
        <v>32.094312903225806</v>
      </c>
      <c r="V157" s="1">
        <v>0.49145552712621071</v>
      </c>
      <c r="W157" s="1">
        <v>70.308356030389362</v>
      </c>
      <c r="X157" s="1">
        <v>0.76311697643333343</v>
      </c>
      <c r="Y157" s="1">
        <v>34.867952329749102</v>
      </c>
      <c r="Z157" s="1">
        <v>0.34923849274020397</v>
      </c>
      <c r="AA157" s="1">
        <v>66.683475040257647</v>
      </c>
      <c r="AB157" s="1">
        <v>0.40602605238364059</v>
      </c>
      <c r="AC157" s="1">
        <v>23.477227342549927</v>
      </c>
    </row>
    <row r="158" spans="1:29" x14ac:dyDescent="0.2">
      <c r="A158" s="1" t="s">
        <v>615</v>
      </c>
      <c r="B158" s="1" t="str">
        <f t="shared" ca="1" si="2"/>
        <v>Open</v>
      </c>
      <c r="C158" s="1" t="s">
        <v>2770</v>
      </c>
      <c r="D158" s="1" t="s">
        <v>616</v>
      </c>
      <c r="E158" s="1" t="s">
        <v>617</v>
      </c>
      <c r="F158" s="1" t="s">
        <v>28</v>
      </c>
      <c r="G158" s="1" t="s">
        <v>618</v>
      </c>
      <c r="H158" s="24">
        <v>44533</v>
      </c>
      <c r="I158" s="1"/>
      <c r="J158" s="1">
        <v>47.925897999999997</v>
      </c>
      <c r="K158" s="1">
        <v>106.88461700000001</v>
      </c>
      <c r="L158" s="20">
        <v>0</v>
      </c>
      <c r="M158" s="20">
        <v>0.99930555555555556</v>
      </c>
      <c r="N158" s="1">
        <v>0.47867715888714163</v>
      </c>
      <c r="O158" s="1">
        <v>65.314781956315286</v>
      </c>
      <c r="P158" s="1">
        <v>0.67776430556164868</v>
      </c>
      <c r="Q158" s="1">
        <v>39.842406451612909</v>
      </c>
      <c r="R158" s="1">
        <v>0.52047916590883192</v>
      </c>
      <c r="S158" s="1">
        <v>75.549849477682798</v>
      </c>
      <c r="T158" s="1">
        <v>0.60778003919964174</v>
      </c>
      <c r="U158" s="1">
        <v>46.397065949820785</v>
      </c>
      <c r="V158" s="1">
        <v>0.33059486193720805</v>
      </c>
      <c r="W158" s="1">
        <v>44.574741158594499</v>
      </c>
      <c r="X158" s="1">
        <v>0.4462600590591399</v>
      </c>
      <c r="Y158" s="1">
        <v>21.573526164874551</v>
      </c>
      <c r="Z158" s="1">
        <v>0.40806235064251206</v>
      </c>
      <c r="AA158" s="1">
        <v>64.170305421363381</v>
      </c>
      <c r="AB158" s="1">
        <v>0.45464408801497708</v>
      </c>
      <c r="AC158" s="1">
        <v>34.512742703533014</v>
      </c>
    </row>
    <row r="159" spans="1:29" x14ac:dyDescent="0.2">
      <c r="A159" s="1" t="s">
        <v>619</v>
      </c>
      <c r="B159" s="1" t="str">
        <f t="shared" ca="1" si="2"/>
        <v>Open</v>
      </c>
      <c r="C159" s="1" t="s">
        <v>2770</v>
      </c>
      <c r="D159" s="1" t="s">
        <v>620</v>
      </c>
      <c r="E159" s="1" t="s">
        <v>621</v>
      </c>
      <c r="F159" s="1" t="s">
        <v>48</v>
      </c>
      <c r="G159" s="1" t="s">
        <v>622</v>
      </c>
      <c r="H159" s="24">
        <v>44535</v>
      </c>
      <c r="I159" s="1"/>
      <c r="J159" s="1">
        <v>47.909370000000003</v>
      </c>
      <c r="K159" s="1">
        <v>106.937555</v>
      </c>
      <c r="L159" s="20">
        <v>0.29166666666666669</v>
      </c>
      <c r="M159" s="20">
        <v>0.99930555555555556</v>
      </c>
      <c r="N159" s="1">
        <v>0.39994968628465344</v>
      </c>
      <c r="O159" s="1">
        <v>66.242332934472941</v>
      </c>
      <c r="P159" s="1">
        <v>0.88719821256774212</v>
      </c>
      <c r="Q159" s="1">
        <v>42.074931541218639</v>
      </c>
      <c r="R159" s="1">
        <v>0.46294993805460588</v>
      </c>
      <c r="S159" s="1">
        <v>67.14483048433047</v>
      </c>
      <c r="T159" s="1">
        <v>0.70102716810501775</v>
      </c>
      <c r="U159" s="1">
        <v>46.107781720430104</v>
      </c>
      <c r="V159" s="1">
        <v>0.40046507681228882</v>
      </c>
      <c r="W159" s="1">
        <v>61.862862450142437</v>
      </c>
      <c r="X159" s="1">
        <v>0.64429079228602137</v>
      </c>
      <c r="Y159" s="1">
        <v>34.976146236559146</v>
      </c>
      <c r="Z159" s="1">
        <v>0.31914148542255893</v>
      </c>
      <c r="AA159" s="1">
        <v>57.285987093153757</v>
      </c>
      <c r="AB159" s="1">
        <v>0.53747690190284159</v>
      </c>
      <c r="AC159" s="1">
        <v>36.175362903225817</v>
      </c>
    </row>
    <row r="160" spans="1:29" x14ac:dyDescent="0.2">
      <c r="A160" s="1" t="s">
        <v>623</v>
      </c>
      <c r="B160" s="1" t="str">
        <f t="shared" ca="1" si="2"/>
        <v>Open</v>
      </c>
      <c r="C160" s="1" t="s">
        <v>2770</v>
      </c>
      <c r="D160" s="1" t="s">
        <v>624</v>
      </c>
      <c r="E160" s="1" t="s">
        <v>625</v>
      </c>
      <c r="F160" s="1" t="s">
        <v>64</v>
      </c>
      <c r="G160" s="1" t="s">
        <v>626</v>
      </c>
      <c r="H160" s="24">
        <v>44588</v>
      </c>
      <c r="I160" s="1"/>
      <c r="J160" s="1">
        <v>47.897255999999999</v>
      </c>
      <c r="K160" s="1">
        <v>106.924325</v>
      </c>
      <c r="L160" s="20">
        <v>0</v>
      </c>
      <c r="M160" s="20">
        <v>0.99930555555555556</v>
      </c>
      <c r="N160" s="1">
        <v>0.69780475436004286</v>
      </c>
      <c r="O160" s="1">
        <v>131.48653525641024</v>
      </c>
      <c r="P160" s="1">
        <v>1.2669150494302308</v>
      </c>
      <c r="Q160" s="1">
        <v>47.535659399332594</v>
      </c>
      <c r="R160" s="1">
        <v>0.69739354668186149</v>
      </c>
      <c r="S160" s="1">
        <v>121.43504415954415</v>
      </c>
      <c r="T160" s="1">
        <v>1.4691622033971325</v>
      </c>
      <c r="U160" s="1">
        <v>54.551467741935461</v>
      </c>
      <c r="V160" s="1">
        <v>0.83532946716598266</v>
      </c>
      <c r="W160" s="1">
        <v>152.92473715099715</v>
      </c>
      <c r="X160" s="1">
        <v>1.7415389916706092</v>
      </c>
      <c r="Y160" s="1">
        <v>57.22318853046594</v>
      </c>
      <c r="Z160" s="1">
        <v>0.44706360818981472</v>
      </c>
      <c r="AA160" s="1">
        <v>78.464518518518503</v>
      </c>
      <c r="AB160" s="1">
        <v>0.63007084130714297</v>
      </c>
      <c r="AC160" s="1">
        <v>38.010763492063496</v>
      </c>
    </row>
    <row r="161" spans="1:29" x14ac:dyDescent="0.2">
      <c r="A161" s="1" t="s">
        <v>627</v>
      </c>
      <c r="B161" s="1" t="str">
        <f t="shared" ca="1" si="2"/>
        <v>Closed</v>
      </c>
      <c r="C161" s="1" t="s">
        <v>2770</v>
      </c>
      <c r="D161" s="1" t="s">
        <v>628</v>
      </c>
      <c r="E161" s="1" t="s">
        <v>629</v>
      </c>
      <c r="F161" s="1" t="s">
        <v>64</v>
      </c>
      <c r="G161" s="1" t="s">
        <v>630</v>
      </c>
      <c r="H161" s="24">
        <v>44535</v>
      </c>
      <c r="I161" s="24">
        <v>45314</v>
      </c>
      <c r="J161" s="1">
        <v>47.899234</v>
      </c>
      <c r="K161" s="1">
        <v>106.918744</v>
      </c>
      <c r="L161" s="20">
        <v>0.29166666666666669</v>
      </c>
      <c r="M161" s="20">
        <v>0.99930555555555556</v>
      </c>
      <c r="N161" s="1">
        <v>0.73639092957822683</v>
      </c>
      <c r="O161" s="1">
        <v>120.83034189340572</v>
      </c>
      <c r="P161" s="1">
        <v>1.0305683280225519</v>
      </c>
      <c r="Q161" s="1">
        <v>50.741335744455974</v>
      </c>
      <c r="R161" s="1">
        <v>0.77505565528977927</v>
      </c>
      <c r="S161" s="1">
        <v>110.38798636394478</v>
      </c>
      <c r="T161" s="1">
        <v>0.95323771147676561</v>
      </c>
      <c r="U161" s="1">
        <v>50.072527276006774</v>
      </c>
      <c r="V161" s="1">
        <v>0.92053739661526512</v>
      </c>
      <c r="W161" s="1">
        <v>133.18199833686319</v>
      </c>
      <c r="X161" s="1">
        <v>1.0622171211785376</v>
      </c>
      <c r="Y161" s="1">
        <v>52.728527320208435</v>
      </c>
      <c r="Z161" s="1">
        <v>0.61668712407906823</v>
      </c>
      <c r="AA161" s="1">
        <v>111.42882484304808</v>
      </c>
      <c r="AB161" s="1">
        <v>0.75426453629546997</v>
      </c>
      <c r="AC161" s="1">
        <v>41.5584292989384</v>
      </c>
    </row>
    <row r="162" spans="1:29" x14ac:dyDescent="0.2">
      <c r="A162" s="1" t="s">
        <v>631</v>
      </c>
      <c r="B162" s="1" t="str">
        <f t="shared" ca="1" si="2"/>
        <v>Closed</v>
      </c>
      <c r="C162" s="1" t="s">
        <v>2770</v>
      </c>
      <c r="D162" s="1" t="s">
        <v>632</v>
      </c>
      <c r="E162" s="1" t="s">
        <v>633</v>
      </c>
      <c r="F162" s="1" t="s">
        <v>48</v>
      </c>
      <c r="G162" s="1" t="s">
        <v>634</v>
      </c>
      <c r="H162" s="24">
        <v>44533</v>
      </c>
      <c r="I162" s="24">
        <v>45314</v>
      </c>
      <c r="J162" s="1">
        <v>47.922893000000002</v>
      </c>
      <c r="K162" s="1">
        <v>106.981584</v>
      </c>
      <c r="L162" s="20">
        <v>0.29166666666666669</v>
      </c>
      <c r="M162" s="20">
        <v>0.99930555555555556</v>
      </c>
      <c r="N162" s="1">
        <v>0.73639092957822683</v>
      </c>
      <c r="O162" s="1">
        <v>120.83034189340572</v>
      </c>
      <c r="P162" s="1">
        <v>1.0305683280225519</v>
      </c>
      <c r="Q162" s="1">
        <v>50.741335744455974</v>
      </c>
      <c r="R162" s="1">
        <v>0.77505565528977927</v>
      </c>
      <c r="S162" s="1">
        <v>110.38798636394478</v>
      </c>
      <c r="T162" s="1">
        <v>0.95323771147676561</v>
      </c>
      <c r="U162" s="1">
        <v>50.072527276006774</v>
      </c>
      <c r="V162" s="1">
        <v>0.92053739661526512</v>
      </c>
      <c r="W162" s="1">
        <v>133.18199833686319</v>
      </c>
      <c r="X162" s="1">
        <v>1.0622171211785376</v>
      </c>
      <c r="Y162" s="1">
        <v>52.728527320208435</v>
      </c>
      <c r="Z162" s="1">
        <v>0.61668712407906823</v>
      </c>
      <c r="AA162" s="1">
        <v>111.42882484304808</v>
      </c>
      <c r="AB162" s="1">
        <v>0.75426453629546997</v>
      </c>
      <c r="AC162" s="1">
        <v>41.5584292989384</v>
      </c>
    </row>
    <row r="163" spans="1:29" x14ac:dyDescent="0.2">
      <c r="A163" s="1" t="s">
        <v>635</v>
      </c>
      <c r="B163" s="1" t="str">
        <f t="shared" ca="1" si="2"/>
        <v>Open</v>
      </c>
      <c r="C163" s="1" t="s">
        <v>2770</v>
      </c>
      <c r="D163" s="1" t="s">
        <v>636</v>
      </c>
      <c r="E163" s="1" t="s">
        <v>637</v>
      </c>
      <c r="F163" s="1" t="s">
        <v>48</v>
      </c>
      <c r="G163" s="1" t="s">
        <v>638</v>
      </c>
      <c r="H163" s="24">
        <v>44533</v>
      </c>
      <c r="I163" s="1"/>
      <c r="J163" s="1">
        <v>47.927235000000003</v>
      </c>
      <c r="K163" s="1">
        <v>106.935541</v>
      </c>
      <c r="L163" s="20">
        <v>0</v>
      </c>
      <c r="M163" s="20">
        <v>0.99930555555555556</v>
      </c>
      <c r="N163" s="1">
        <v>0.71653484391361832</v>
      </c>
      <c r="O163" s="1">
        <v>112.50743283950622</v>
      </c>
      <c r="P163" s="1">
        <v>0.77912496634659512</v>
      </c>
      <c r="Q163" s="1">
        <v>45.15323189964159</v>
      </c>
      <c r="R163" s="1">
        <v>0.73976513539791078</v>
      </c>
      <c r="S163" s="1">
        <v>111.44696106362773</v>
      </c>
      <c r="T163" s="1">
        <v>0.75590884468745534</v>
      </c>
      <c r="U163" s="1">
        <v>45.647106093189961</v>
      </c>
      <c r="V163" s="1">
        <v>0.59885301376235511</v>
      </c>
      <c r="W163" s="1">
        <v>93.352051433998113</v>
      </c>
      <c r="X163" s="1">
        <v>0.47240439364910403</v>
      </c>
      <c r="Y163" s="1">
        <v>34.950105376344084</v>
      </c>
      <c r="Z163" s="1">
        <v>0.56858956424261942</v>
      </c>
      <c r="AA163" s="1">
        <v>98.579898013955969</v>
      </c>
      <c r="AB163" s="1">
        <v>0.83958377367933956</v>
      </c>
      <c r="AC163" s="1">
        <v>39.553137096774186</v>
      </c>
    </row>
    <row r="164" spans="1:29" x14ac:dyDescent="0.2">
      <c r="A164" s="1" t="s">
        <v>639</v>
      </c>
      <c r="B164" s="1" t="str">
        <f t="shared" ca="1" si="2"/>
        <v>Open</v>
      </c>
      <c r="C164" s="1" t="s">
        <v>2770</v>
      </c>
      <c r="D164" s="1" t="s">
        <v>640</v>
      </c>
      <c r="E164" s="1" t="s">
        <v>641</v>
      </c>
      <c r="F164" s="1" t="s">
        <v>64</v>
      </c>
      <c r="G164" s="1" t="s">
        <v>642</v>
      </c>
      <c r="H164" s="24">
        <v>44537</v>
      </c>
      <c r="I164" s="1"/>
      <c r="J164" s="1">
        <v>47.856009999999998</v>
      </c>
      <c r="K164" s="1">
        <v>106.78120699999999</v>
      </c>
      <c r="L164" s="20">
        <v>0</v>
      </c>
      <c r="M164" s="20">
        <v>0.99930555555555556</v>
      </c>
      <c r="N164" s="1">
        <v>1.4147344535407596</v>
      </c>
      <c r="O164" s="1">
        <v>259.33313240265915</v>
      </c>
      <c r="P164" s="1">
        <v>1.6826018904874547</v>
      </c>
      <c r="Q164" s="1">
        <v>72.777002150537626</v>
      </c>
      <c r="R164" s="1">
        <v>1.5339897637934474</v>
      </c>
      <c r="S164" s="1">
        <v>227.0180560303894</v>
      </c>
      <c r="T164" s="1">
        <v>1.5822799726577061</v>
      </c>
      <c r="U164" s="1">
        <v>70.88049462365592</v>
      </c>
      <c r="V164" s="1">
        <v>1.7493714871696102</v>
      </c>
      <c r="W164" s="1">
        <v>274.93540854700854</v>
      </c>
      <c r="X164" s="1">
        <v>1.751202755942294</v>
      </c>
      <c r="Y164" s="1">
        <v>75.376204659498228</v>
      </c>
      <c r="Z164" s="1">
        <v>1.2372981995695114</v>
      </c>
      <c r="AA164" s="1">
        <v>279.61821095008054</v>
      </c>
      <c r="AB164" s="1">
        <v>1.0810010169235795</v>
      </c>
      <c r="AC164" s="1">
        <v>56.570864055299545</v>
      </c>
    </row>
    <row r="165" spans="1:29" x14ac:dyDescent="0.2">
      <c r="A165" s="1" t="s">
        <v>643</v>
      </c>
      <c r="B165" s="1" t="str">
        <f t="shared" ca="1" si="2"/>
        <v>Closed</v>
      </c>
      <c r="C165" s="1" t="s">
        <v>2770</v>
      </c>
      <c r="D165" s="1" t="s">
        <v>644</v>
      </c>
      <c r="E165" s="1" t="s">
        <v>645</v>
      </c>
      <c r="F165" s="1" t="s">
        <v>48</v>
      </c>
      <c r="G165" s="1" t="s">
        <v>646</v>
      </c>
      <c r="H165" s="24">
        <v>44537</v>
      </c>
      <c r="I165" s="24">
        <v>45304</v>
      </c>
      <c r="J165" s="1">
        <v>47.921517000000001</v>
      </c>
      <c r="K165" s="1">
        <v>106.954037</v>
      </c>
      <c r="L165" s="20">
        <v>0.29166666666666669</v>
      </c>
      <c r="M165" s="20">
        <v>0.99930555555555556</v>
      </c>
      <c r="N165" s="1">
        <v>0.73639092957822683</v>
      </c>
      <c r="O165" s="1">
        <v>120.83034189340572</v>
      </c>
      <c r="P165" s="1">
        <v>1.0305683280225519</v>
      </c>
      <c r="Q165" s="1">
        <v>50.741335744455974</v>
      </c>
      <c r="R165" s="1">
        <v>0.77505565528977927</v>
      </c>
      <c r="S165" s="1">
        <v>110.38798636394478</v>
      </c>
      <c r="T165" s="1">
        <v>0.95323771147676561</v>
      </c>
      <c r="U165" s="1">
        <v>50.072527276006774</v>
      </c>
      <c r="V165" s="1">
        <v>0.92053739661526512</v>
      </c>
      <c r="W165" s="1">
        <v>133.18199833686319</v>
      </c>
      <c r="X165" s="1">
        <v>1.0622171211785376</v>
      </c>
      <c r="Y165" s="1">
        <v>52.728527320208435</v>
      </c>
      <c r="Z165" s="1">
        <v>0.61668712407906823</v>
      </c>
      <c r="AA165" s="1">
        <v>111.42882484304808</v>
      </c>
      <c r="AB165" s="1">
        <v>0.75426453629546997</v>
      </c>
      <c r="AC165" s="1">
        <v>41.5584292989384</v>
      </c>
    </row>
    <row r="166" spans="1:29" x14ac:dyDescent="0.2">
      <c r="A166" s="1" t="s">
        <v>647</v>
      </c>
      <c r="B166" s="1" t="str">
        <f t="shared" ca="1" si="2"/>
        <v>Open</v>
      </c>
      <c r="C166" s="1" t="s">
        <v>2770</v>
      </c>
      <c r="D166" s="1" t="s">
        <v>648</v>
      </c>
      <c r="E166" s="1" t="s">
        <v>649</v>
      </c>
      <c r="F166" s="1" t="s">
        <v>48</v>
      </c>
      <c r="G166" s="1" t="s">
        <v>650</v>
      </c>
      <c r="H166" s="24">
        <v>44540</v>
      </c>
      <c r="I166" s="1"/>
      <c r="J166" s="1">
        <v>47.914743999999999</v>
      </c>
      <c r="K166" s="1">
        <v>106.996082</v>
      </c>
      <c r="L166" s="20">
        <v>0.29166666666666669</v>
      </c>
      <c r="M166" s="20">
        <v>0.91666666666666663</v>
      </c>
      <c r="N166" s="1">
        <v>1.0765649261170374</v>
      </c>
      <c r="O166" s="1">
        <v>134.3832563722697</v>
      </c>
      <c r="P166" s="1">
        <v>1.1867773098275984</v>
      </c>
      <c r="Q166" s="1">
        <v>87.516704659498203</v>
      </c>
      <c r="R166" s="1">
        <v>1.0628498303518519</v>
      </c>
      <c r="S166" s="1">
        <v>123.37839933523269</v>
      </c>
      <c r="T166" s="1">
        <v>1.035685727741577</v>
      </c>
      <c r="U166" s="1">
        <v>81.479791756272377</v>
      </c>
      <c r="V166" s="1">
        <v>0.93657527963627896</v>
      </c>
      <c r="W166" s="1">
        <v>124.40827949292937</v>
      </c>
      <c r="X166" s="1">
        <v>0.86807357973272559</v>
      </c>
      <c r="Y166" s="1">
        <v>57.146911486484385</v>
      </c>
      <c r="Z166" s="1">
        <v>0.77752569495074242</v>
      </c>
      <c r="AA166" s="1">
        <v>102.27707354925776</v>
      </c>
      <c r="AB166" s="1">
        <v>0.8054944904461715</v>
      </c>
      <c r="AC166" s="1">
        <v>70.538187324861511</v>
      </c>
    </row>
    <row r="167" spans="1:29" x14ac:dyDescent="0.2">
      <c r="A167" s="1" t="s">
        <v>651</v>
      </c>
      <c r="B167" s="1" t="str">
        <f t="shared" ca="1" si="2"/>
        <v>Open</v>
      </c>
      <c r="C167" s="1" t="s">
        <v>2770</v>
      </c>
      <c r="D167" s="1" t="s">
        <v>652</v>
      </c>
      <c r="E167" s="1" t="s">
        <v>653</v>
      </c>
      <c r="F167" s="1" t="s">
        <v>33</v>
      </c>
      <c r="G167" s="1" t="s">
        <v>654</v>
      </c>
      <c r="H167" s="24">
        <v>44540</v>
      </c>
      <c r="I167" s="1"/>
      <c r="J167" s="1">
        <v>47.934949000000003</v>
      </c>
      <c r="K167" s="1">
        <v>106.88547199999999</v>
      </c>
      <c r="L167" s="20">
        <v>0</v>
      </c>
      <c r="M167" s="20">
        <v>0.99930555555555556</v>
      </c>
      <c r="N167" s="1">
        <v>1.1851447789292118</v>
      </c>
      <c r="O167" s="1">
        <v>182.13295910731247</v>
      </c>
      <c r="P167" s="1">
        <v>1.5743153675949824</v>
      </c>
      <c r="Q167" s="1">
        <v>73.854287813620076</v>
      </c>
      <c r="R167" s="1">
        <v>1.2869418977293445</v>
      </c>
      <c r="S167" s="1">
        <v>166.56765859449197</v>
      </c>
      <c r="T167" s="1">
        <v>1.5841313959526879</v>
      </c>
      <c r="U167" s="1">
        <v>70.363942652329754</v>
      </c>
      <c r="V167" s="1">
        <v>1.3917295431545298</v>
      </c>
      <c r="W167" s="1">
        <v>179.95994364672364</v>
      </c>
      <c r="X167" s="1">
        <v>1.5566236096286739</v>
      </c>
      <c r="Y167" s="1">
        <v>72.824748387096761</v>
      </c>
      <c r="Z167" s="1">
        <v>1.1135039649966327</v>
      </c>
      <c r="AA167" s="1">
        <v>181.11548989898992</v>
      </c>
      <c r="AB167" s="1">
        <v>1.314041687958909</v>
      </c>
      <c r="AC167" s="1">
        <v>60.349622887864825</v>
      </c>
    </row>
    <row r="168" spans="1:29" x14ac:dyDescent="0.2">
      <c r="A168" s="1" t="s">
        <v>655</v>
      </c>
      <c r="B168" s="1" t="str">
        <f t="shared" ca="1" si="2"/>
        <v>Open</v>
      </c>
      <c r="C168" s="1" t="s">
        <v>2770</v>
      </c>
      <c r="D168" s="1" t="s">
        <v>656</v>
      </c>
      <c r="E168" s="1" t="s">
        <v>657</v>
      </c>
      <c r="F168" s="1" t="s">
        <v>48</v>
      </c>
      <c r="G168" s="1" t="s">
        <v>658</v>
      </c>
      <c r="H168" s="24">
        <v>44542</v>
      </c>
      <c r="I168" s="1"/>
      <c r="J168" s="1">
        <v>47.917507000000001</v>
      </c>
      <c r="K168" s="1">
        <v>106.949946</v>
      </c>
      <c r="L168" s="20">
        <v>0.29166666666666669</v>
      </c>
      <c r="M168" s="20">
        <v>0.99930555555555556</v>
      </c>
      <c r="N168" s="1">
        <v>0.76380018016955364</v>
      </c>
      <c r="O168" s="1">
        <v>110.42671830959166</v>
      </c>
      <c r="P168" s="1">
        <v>1.2108145580677423</v>
      </c>
      <c r="Q168" s="1">
        <v>66.15106451612904</v>
      </c>
      <c r="R168" s="1">
        <v>0.87013158318091166</v>
      </c>
      <c r="S168" s="1">
        <v>111.74145773979107</v>
      </c>
      <c r="T168" s="1">
        <v>1.0818963693702506</v>
      </c>
      <c r="U168" s="1">
        <v>60.299624731182796</v>
      </c>
      <c r="V168" s="1">
        <v>0.71793569708286797</v>
      </c>
      <c r="W168" s="1">
        <v>100.51715882241216</v>
      </c>
      <c r="X168" s="1">
        <v>0.800586958849833</v>
      </c>
      <c r="Y168" s="1">
        <v>50.195009640341119</v>
      </c>
      <c r="Z168" s="1">
        <v>0.61640763752979078</v>
      </c>
      <c r="AA168" s="1">
        <v>108.01043639291464</v>
      </c>
      <c r="AB168" s="1">
        <v>0.96852881753125963</v>
      </c>
      <c r="AC168" s="1">
        <v>49.817761315924223</v>
      </c>
    </row>
    <row r="169" spans="1:29" x14ac:dyDescent="0.2">
      <c r="A169" s="1" t="s">
        <v>659</v>
      </c>
      <c r="B169" s="1" t="str">
        <f t="shared" ca="1" si="2"/>
        <v>Open</v>
      </c>
      <c r="C169" s="1" t="s">
        <v>2770</v>
      </c>
      <c r="D169" s="1" t="s">
        <v>660</v>
      </c>
      <c r="E169" s="1" t="s">
        <v>661</v>
      </c>
      <c r="F169" s="1" t="s">
        <v>28</v>
      </c>
      <c r="G169" s="1" t="s">
        <v>662</v>
      </c>
      <c r="H169" s="24">
        <v>44545</v>
      </c>
      <c r="I169" s="1"/>
      <c r="J169" s="1">
        <v>47.920577000000002</v>
      </c>
      <c r="K169" s="1">
        <v>106.876002</v>
      </c>
      <c r="L169" s="20">
        <v>0</v>
      </c>
      <c r="M169" s="20">
        <v>0.99930555555555556</v>
      </c>
      <c r="N169" s="1">
        <v>0.23566591926797723</v>
      </c>
      <c r="O169" s="1">
        <v>33.021317473884132</v>
      </c>
      <c r="P169" s="1">
        <v>0.23464004865412183</v>
      </c>
      <c r="Q169" s="1">
        <v>13.80414623655914</v>
      </c>
      <c r="R169" s="1">
        <v>0.24381057337796772</v>
      </c>
      <c r="S169" s="1">
        <v>36.960503323836662</v>
      </c>
      <c r="T169" s="1">
        <v>0.2678128406032258</v>
      </c>
      <c r="U169" s="1">
        <v>13.537606093189964</v>
      </c>
      <c r="V169" s="1">
        <v>0.30759299511817667</v>
      </c>
      <c r="W169" s="1">
        <v>40.90575113010447</v>
      </c>
      <c r="X169" s="1">
        <v>0.24351964223989619</v>
      </c>
      <c r="Y169" s="1">
        <v>15.597613274008159</v>
      </c>
      <c r="Z169" s="1">
        <v>0.20721828804783948</v>
      </c>
      <c r="AA169" s="1">
        <v>36.043271604938276</v>
      </c>
      <c r="AB169" s="1">
        <v>0.20112501772772651</v>
      </c>
      <c r="AC169" s="1">
        <v>12.233315668202769</v>
      </c>
    </row>
    <row r="170" spans="1:29" x14ac:dyDescent="0.2">
      <c r="A170" s="1" t="s">
        <v>663</v>
      </c>
      <c r="B170" s="1" t="str">
        <f t="shared" ca="1" si="2"/>
        <v>Open</v>
      </c>
      <c r="C170" s="1" t="s">
        <v>2770</v>
      </c>
      <c r="D170" s="1" t="s">
        <v>664</v>
      </c>
      <c r="E170" s="1" t="s">
        <v>665</v>
      </c>
      <c r="F170" s="1" t="s">
        <v>33</v>
      </c>
      <c r="G170" s="1" t="s">
        <v>666</v>
      </c>
      <c r="H170" s="24">
        <v>44545</v>
      </c>
      <c r="I170" s="1"/>
      <c r="J170" s="1">
        <v>47.925055999999998</v>
      </c>
      <c r="K170" s="1">
        <v>106.896722</v>
      </c>
      <c r="L170" s="20">
        <v>0.29166666666666669</v>
      </c>
      <c r="M170" s="20">
        <v>0.99930555555555556</v>
      </c>
      <c r="N170" s="1">
        <v>0.20663460898239308</v>
      </c>
      <c r="O170" s="1">
        <v>25.311426191832862</v>
      </c>
      <c r="P170" s="1">
        <v>0.28464992586236559</v>
      </c>
      <c r="Q170" s="1">
        <v>11.746066308243726</v>
      </c>
      <c r="R170" s="1">
        <v>0.21065983012250711</v>
      </c>
      <c r="S170" s="1">
        <v>35.567317663817654</v>
      </c>
      <c r="T170" s="1">
        <v>0.17296661308781361</v>
      </c>
      <c r="U170" s="1">
        <v>12.320559856630824</v>
      </c>
      <c r="V170" s="1">
        <v>0.22301337767933518</v>
      </c>
      <c r="W170" s="1">
        <v>24.258276144349477</v>
      </c>
      <c r="X170" s="1">
        <v>0.28746024054011776</v>
      </c>
      <c r="Y170" s="1">
        <v>14.274832821300562</v>
      </c>
      <c r="Z170" s="1">
        <v>0.13557409211616159</v>
      </c>
      <c r="AA170" s="1">
        <v>27.191525252525253</v>
      </c>
      <c r="AB170" s="1">
        <v>0.10687632486482335</v>
      </c>
      <c r="AC170" s="1">
        <v>9.2228110599078335</v>
      </c>
    </row>
    <row r="171" spans="1:29" x14ac:dyDescent="0.2">
      <c r="A171" s="1" t="s">
        <v>667</v>
      </c>
      <c r="B171" s="1" t="str">
        <f t="shared" ca="1" si="2"/>
        <v>Open</v>
      </c>
      <c r="C171" s="1" t="s">
        <v>2770</v>
      </c>
      <c r="D171" s="1" t="s">
        <v>668</v>
      </c>
      <c r="E171" s="1" t="s">
        <v>669</v>
      </c>
      <c r="F171" s="1" t="s">
        <v>48</v>
      </c>
      <c r="G171" s="1" t="s">
        <v>670</v>
      </c>
      <c r="H171" s="24">
        <v>44545</v>
      </c>
      <c r="I171" s="1"/>
      <c r="J171" s="1">
        <v>47.928190999999998</v>
      </c>
      <c r="K171" s="1">
        <v>106.936795</v>
      </c>
      <c r="L171" s="20">
        <v>0</v>
      </c>
      <c r="M171" s="20">
        <v>0.99930555555555556</v>
      </c>
      <c r="N171" s="1">
        <v>0.34581520623739798</v>
      </c>
      <c r="O171" s="1">
        <v>61.353822089268753</v>
      </c>
      <c r="P171" s="1">
        <v>0.59079645279354842</v>
      </c>
      <c r="Q171" s="1">
        <v>25.41772795698925</v>
      </c>
      <c r="R171" s="1">
        <v>0.41536040273504266</v>
      </c>
      <c r="S171" s="1">
        <v>63.594425451092121</v>
      </c>
      <c r="T171" s="1">
        <v>0.53860221320967749</v>
      </c>
      <c r="U171" s="1">
        <v>27.228900358422944</v>
      </c>
      <c r="V171" s="1">
        <v>0.39357579332883191</v>
      </c>
      <c r="W171" s="1">
        <v>56.678808926875597</v>
      </c>
      <c r="X171" s="1">
        <v>0.47646729369856633</v>
      </c>
      <c r="Y171" s="1">
        <v>22.92953655913978</v>
      </c>
      <c r="Z171" s="1">
        <v>0.33557503480987655</v>
      </c>
      <c r="AA171" s="1">
        <v>74.188189506172861</v>
      </c>
      <c r="AB171" s="1">
        <v>0.43516509681950843</v>
      </c>
      <c r="AC171" s="1">
        <v>21.711387864823351</v>
      </c>
    </row>
    <row r="172" spans="1:29" x14ac:dyDescent="0.2">
      <c r="A172" s="1" t="s">
        <v>671</v>
      </c>
      <c r="B172" s="1" t="str">
        <f t="shared" ca="1" si="2"/>
        <v>Open</v>
      </c>
      <c r="C172" s="1" t="s">
        <v>2770</v>
      </c>
      <c r="D172" s="1" t="s">
        <v>672</v>
      </c>
      <c r="E172" s="1" t="s">
        <v>673</v>
      </c>
      <c r="F172" s="1" t="s">
        <v>48</v>
      </c>
      <c r="G172" s="1" t="s">
        <v>674</v>
      </c>
      <c r="H172" s="24">
        <v>44545</v>
      </c>
      <c r="I172" s="1"/>
      <c r="J172" s="1">
        <v>47.918157999999998</v>
      </c>
      <c r="K172" s="1">
        <v>106.944316</v>
      </c>
      <c r="L172" s="20">
        <v>0</v>
      </c>
      <c r="M172" s="20">
        <v>0.99930555555555556</v>
      </c>
      <c r="N172" s="1">
        <v>0.28054233642104465</v>
      </c>
      <c r="O172" s="1">
        <v>49.694958461538469</v>
      </c>
      <c r="P172" s="1">
        <v>0.72389927833333323</v>
      </c>
      <c r="Q172" s="1">
        <v>33.3339</v>
      </c>
      <c r="R172" s="1">
        <v>0.3108128116092117</v>
      </c>
      <c r="S172" s="1">
        <v>45.806477207977203</v>
      </c>
      <c r="T172" s="1">
        <v>0.66680599430967735</v>
      </c>
      <c r="U172" s="1">
        <v>31.189048387096779</v>
      </c>
      <c r="V172" s="1">
        <v>0.34325285676999046</v>
      </c>
      <c r="W172" s="1">
        <v>52.985038461538458</v>
      </c>
      <c r="X172" s="1">
        <v>0.64881304039247312</v>
      </c>
      <c r="Y172" s="1">
        <v>36.950089605734775</v>
      </c>
      <c r="Z172" s="1">
        <v>0.21348952081910896</v>
      </c>
      <c r="AA172" s="1">
        <v>41.08462265163714</v>
      </c>
      <c r="AB172" s="1">
        <v>0.50734621022119808</v>
      </c>
      <c r="AC172" s="1">
        <v>25.031746543778798</v>
      </c>
    </row>
    <row r="173" spans="1:29" x14ac:dyDescent="0.2">
      <c r="A173" s="1" t="s">
        <v>675</v>
      </c>
      <c r="B173" s="1" t="str">
        <f t="shared" ca="1" si="2"/>
        <v>Open</v>
      </c>
      <c r="C173" s="1" t="s">
        <v>2770</v>
      </c>
      <c r="D173" s="1" t="s">
        <v>676</v>
      </c>
      <c r="E173" s="1" t="s">
        <v>677</v>
      </c>
      <c r="F173" s="1" t="s">
        <v>11</v>
      </c>
      <c r="G173" s="1" t="s">
        <v>678</v>
      </c>
      <c r="H173" s="24">
        <v>44543</v>
      </c>
      <c r="I173" s="1"/>
      <c r="J173" s="1">
        <v>47.926023000000001</v>
      </c>
      <c r="K173" s="1">
        <v>106.922724</v>
      </c>
      <c r="L173" s="20">
        <v>0.29166666666666669</v>
      </c>
      <c r="M173" s="20">
        <v>0.99930555555555556</v>
      </c>
      <c r="N173" s="1">
        <v>0.64376974515371299</v>
      </c>
      <c r="O173" s="1">
        <v>103.569903988604</v>
      </c>
      <c r="P173" s="1">
        <v>1.6395093662698927</v>
      </c>
      <c r="Q173" s="1">
        <v>66.469798566308256</v>
      </c>
      <c r="R173" s="1">
        <v>0.78572138747293441</v>
      </c>
      <c r="S173" s="1">
        <v>120.37600047483382</v>
      </c>
      <c r="T173" s="1">
        <v>1.4355400906774196</v>
      </c>
      <c r="U173" s="1">
        <v>69.516649462365592</v>
      </c>
      <c r="V173" s="1">
        <v>0.49688125372022296</v>
      </c>
      <c r="W173" s="1">
        <v>78.748799554069095</v>
      </c>
      <c r="X173" s="1">
        <v>0.93576675408370535</v>
      </c>
      <c r="Y173" s="1">
        <v>40.576113261648743</v>
      </c>
      <c r="Z173" s="1">
        <v>0.51430659752710683</v>
      </c>
      <c r="AA173" s="1">
        <v>102.63928502415457</v>
      </c>
      <c r="AB173" s="1">
        <v>1.1970720151678189</v>
      </c>
      <c r="AC173" s="1">
        <v>53.646944316436254</v>
      </c>
    </row>
    <row r="174" spans="1:29" x14ac:dyDescent="0.2">
      <c r="A174" s="1" t="s">
        <v>679</v>
      </c>
      <c r="B174" s="1" t="str">
        <f t="shared" ca="1" si="2"/>
        <v>Open</v>
      </c>
      <c r="C174" s="1" t="s">
        <v>2770</v>
      </c>
      <c r="D174" s="1" t="s">
        <v>680</v>
      </c>
      <c r="E174" s="1" t="s">
        <v>681</v>
      </c>
      <c r="F174" s="1" t="s">
        <v>28</v>
      </c>
      <c r="G174" s="1" t="s">
        <v>682</v>
      </c>
      <c r="H174" s="24">
        <v>44787</v>
      </c>
      <c r="I174" s="1"/>
      <c r="J174" s="1">
        <v>47.918447</v>
      </c>
      <c r="K174" s="1">
        <v>106.875889</v>
      </c>
      <c r="L174" s="20">
        <v>0</v>
      </c>
      <c r="M174" s="20">
        <v>0.99930555555555556</v>
      </c>
      <c r="N174" s="1">
        <v>0.66308836966136753</v>
      </c>
      <c r="O174" s="1">
        <v>94.242434188034167</v>
      </c>
      <c r="P174" s="1">
        <v>0.97573678887204307</v>
      </c>
      <c r="Q174" s="1">
        <v>39.304216487455193</v>
      </c>
      <c r="R174" s="1">
        <v>0.72890917407122513</v>
      </c>
      <c r="S174" s="1">
        <v>107.35566049382719</v>
      </c>
      <c r="T174" s="1">
        <v>0.99849562848028661</v>
      </c>
      <c r="U174" s="1">
        <v>40.482974551971331</v>
      </c>
      <c r="V174" s="1">
        <v>0.71974262406398859</v>
      </c>
      <c r="W174" s="1">
        <v>100.93725859449194</v>
      </c>
      <c r="X174" s="1">
        <v>0.79441644476774209</v>
      </c>
      <c r="Y174" s="1">
        <v>36.820068817204302</v>
      </c>
      <c r="Z174" s="1">
        <v>0.65810931543424589</v>
      </c>
      <c r="AA174" s="1">
        <v>120.40417713365541</v>
      </c>
      <c r="AB174" s="1">
        <v>0.71669782966973872</v>
      </c>
      <c r="AC174" s="1">
        <v>41.182377112135178</v>
      </c>
    </row>
    <row r="175" spans="1:29" x14ac:dyDescent="0.2">
      <c r="A175" s="1" t="s">
        <v>683</v>
      </c>
      <c r="B175" s="1" t="str">
        <f t="shared" ca="1" si="2"/>
        <v>Open</v>
      </c>
      <c r="C175" s="1" t="s">
        <v>2770</v>
      </c>
      <c r="D175" s="1" t="s">
        <v>684</v>
      </c>
      <c r="E175" s="1" t="s">
        <v>685</v>
      </c>
      <c r="F175" s="1" t="s">
        <v>64</v>
      </c>
      <c r="G175" s="1" t="s">
        <v>2650</v>
      </c>
      <c r="H175" s="24">
        <v>44587</v>
      </c>
      <c r="I175" s="1"/>
      <c r="J175" s="1">
        <v>47.897024999999999</v>
      </c>
      <c r="K175" s="1">
        <v>106.89609</v>
      </c>
      <c r="L175" s="20">
        <v>0</v>
      </c>
      <c r="M175" s="20">
        <v>0.99930555555555556</v>
      </c>
      <c r="N175" s="1">
        <v>0.74937189537670845</v>
      </c>
      <c r="O175" s="1">
        <v>139.78995276435856</v>
      </c>
      <c r="P175" s="1">
        <v>0.72621652654480284</v>
      </c>
      <c r="Q175" s="1">
        <v>43.187949462365594</v>
      </c>
      <c r="R175" s="1">
        <v>0.84669625308926888</v>
      </c>
      <c r="S175" s="1">
        <v>127.30677682811017</v>
      </c>
      <c r="T175" s="1">
        <v>0.93769406406057332</v>
      </c>
      <c r="U175" s="1">
        <v>49.685377060931906</v>
      </c>
      <c r="V175" s="1">
        <v>0.82599953262186132</v>
      </c>
      <c r="W175" s="1">
        <v>144.17735437796773</v>
      </c>
      <c r="X175" s="1">
        <v>0.67996817837240142</v>
      </c>
      <c r="Y175" s="1">
        <v>39.403250179211469</v>
      </c>
      <c r="Z175" s="1">
        <v>0.62847311773202874</v>
      </c>
      <c r="AA175" s="1">
        <v>130.01548959494613</v>
      </c>
      <c r="AB175" s="1">
        <v>0.83694273967396315</v>
      </c>
      <c r="AC175" s="1">
        <v>39.328911674347161</v>
      </c>
    </row>
    <row r="176" spans="1:29" x14ac:dyDescent="0.2">
      <c r="A176" s="1" t="s">
        <v>686</v>
      </c>
      <c r="B176" s="1" t="str">
        <f t="shared" ca="1" si="2"/>
        <v>Open</v>
      </c>
      <c r="C176" s="1" t="s">
        <v>2770</v>
      </c>
      <c r="D176" s="1" t="s">
        <v>687</v>
      </c>
      <c r="E176" s="1" t="s">
        <v>688</v>
      </c>
      <c r="F176" s="1" t="s">
        <v>64</v>
      </c>
      <c r="G176" s="1" t="s">
        <v>689</v>
      </c>
      <c r="H176" s="24">
        <v>44586</v>
      </c>
      <c r="I176" s="1"/>
      <c r="J176" s="1">
        <v>47.853427000000003</v>
      </c>
      <c r="K176" s="1">
        <v>106.78111</v>
      </c>
      <c r="L176" s="20">
        <v>0</v>
      </c>
      <c r="M176" s="20">
        <v>0.99930555555555556</v>
      </c>
      <c r="N176" s="1">
        <v>0.81363438257373222</v>
      </c>
      <c r="O176" s="1">
        <v>144.23750955365617</v>
      </c>
      <c r="P176" s="1">
        <v>1.1106338105437277</v>
      </c>
      <c r="Q176" s="1">
        <v>48.809002867383526</v>
      </c>
      <c r="R176" s="1">
        <v>1.0484690749582146</v>
      </c>
      <c r="S176" s="1">
        <v>150.54459211775881</v>
      </c>
      <c r="T176" s="1">
        <v>1.1220284947569892</v>
      </c>
      <c r="U176" s="1">
        <v>54.403298207885314</v>
      </c>
      <c r="V176" s="1">
        <v>1.0160475074611968</v>
      </c>
      <c r="W176" s="1">
        <v>161.79233844254509</v>
      </c>
      <c r="X176" s="1">
        <v>1.2188729001716843</v>
      </c>
      <c r="Y176" s="1">
        <v>53.370369534050184</v>
      </c>
      <c r="Z176" s="1">
        <v>0.71568035883501679</v>
      </c>
      <c r="AA176" s="1">
        <v>139.01393490460154</v>
      </c>
      <c r="AB176" s="1">
        <v>0.68455544035099869</v>
      </c>
      <c r="AC176" s="1">
        <v>42.257955069124421</v>
      </c>
    </row>
    <row r="177" spans="1:29" x14ac:dyDescent="0.2">
      <c r="A177" s="1" t="s">
        <v>690</v>
      </c>
      <c r="B177" s="1" t="str">
        <f t="shared" ca="1" si="2"/>
        <v>Open</v>
      </c>
      <c r="C177" s="1" t="s">
        <v>2770</v>
      </c>
      <c r="D177" s="1" t="s">
        <v>691</v>
      </c>
      <c r="E177" s="1" t="s">
        <v>692</v>
      </c>
      <c r="F177" s="1" t="s">
        <v>64</v>
      </c>
      <c r="G177" s="1" t="s">
        <v>693</v>
      </c>
      <c r="H177" s="24">
        <v>44663</v>
      </c>
      <c r="I177" s="1"/>
      <c r="J177" s="1">
        <v>47.886060000000001</v>
      </c>
      <c r="K177" s="1">
        <v>106.905051</v>
      </c>
      <c r="L177" s="20">
        <v>0.29166666666666669</v>
      </c>
      <c r="M177" s="20">
        <v>0.99930555555555556</v>
      </c>
      <c r="N177" s="1">
        <v>0.41424335680774926</v>
      </c>
      <c r="O177" s="1">
        <v>54.472798252611597</v>
      </c>
      <c r="P177" s="1">
        <v>0.62579443823261649</v>
      </c>
      <c r="Q177" s="1">
        <v>31.044206810035835</v>
      </c>
      <c r="R177" s="1">
        <v>0.52503058966799621</v>
      </c>
      <c r="S177" s="1">
        <v>66.206199905033245</v>
      </c>
      <c r="T177" s="1">
        <v>0.84456355930215044</v>
      </c>
      <c r="U177" s="1">
        <v>34.142546953405009</v>
      </c>
      <c r="V177" s="1">
        <v>0.56212097503886038</v>
      </c>
      <c r="W177" s="1">
        <v>73.260603057929714</v>
      </c>
      <c r="X177" s="1">
        <v>0.76235092174265218</v>
      </c>
      <c r="Y177" s="1">
        <v>37.256106810035831</v>
      </c>
      <c r="Z177" s="1">
        <v>0.4688495428226363</v>
      </c>
      <c r="AA177" s="1">
        <v>83.233169542213034</v>
      </c>
      <c r="AB177" s="1">
        <v>0.58545630585248321</v>
      </c>
      <c r="AC177" s="1">
        <v>27.509641577060933</v>
      </c>
    </row>
    <row r="178" spans="1:29" x14ac:dyDescent="0.2">
      <c r="A178" s="1" t="s">
        <v>694</v>
      </c>
      <c r="B178" s="1" t="str">
        <f t="shared" ca="1" si="2"/>
        <v>Open</v>
      </c>
      <c r="C178" s="1" t="s">
        <v>2770</v>
      </c>
      <c r="D178" s="1" t="s">
        <v>695</v>
      </c>
      <c r="E178" s="1" t="s">
        <v>696</v>
      </c>
      <c r="F178" s="1" t="s">
        <v>11</v>
      </c>
      <c r="G178" s="1" t="s">
        <v>697</v>
      </c>
      <c r="H178" s="24">
        <v>44586</v>
      </c>
      <c r="I178" s="1"/>
      <c r="J178" s="1">
        <v>47.928975999999999</v>
      </c>
      <c r="K178" s="1">
        <v>106.913106</v>
      </c>
      <c r="L178" s="20">
        <v>0</v>
      </c>
      <c r="M178" s="20">
        <v>0.99930555555555556</v>
      </c>
      <c r="N178" s="1">
        <v>0.66718239450184225</v>
      </c>
      <c r="O178" s="1">
        <v>113.53455327635328</v>
      </c>
      <c r="P178" s="1">
        <v>1.1347560605387097</v>
      </c>
      <c r="Q178" s="1">
        <v>41.894167025089608</v>
      </c>
      <c r="R178" s="1">
        <v>0.71900805034852822</v>
      </c>
      <c r="S178" s="1">
        <v>106.32433190883192</v>
      </c>
      <c r="T178" s="1">
        <v>0.9550704273369176</v>
      </c>
      <c r="U178" s="1">
        <v>39.462001792114698</v>
      </c>
      <c r="V178" s="1">
        <v>0.72294761308590694</v>
      </c>
      <c r="W178" s="1">
        <v>112.91206381766382</v>
      </c>
      <c r="X178" s="1">
        <v>0.97203280639157086</v>
      </c>
      <c r="Y178" s="1">
        <v>37.619968557656655</v>
      </c>
      <c r="Z178" s="1">
        <v>0.611582489118626</v>
      </c>
      <c r="AA178" s="1">
        <v>116.70237037037037</v>
      </c>
      <c r="AB178" s="1">
        <v>0.96513134091359432</v>
      </c>
      <c r="AC178" s="1">
        <v>37.947958141321052</v>
      </c>
    </row>
    <row r="179" spans="1:29" x14ac:dyDescent="0.2">
      <c r="A179" s="1" t="s">
        <v>698</v>
      </c>
      <c r="B179" s="1" t="str">
        <f t="shared" ca="1" si="2"/>
        <v>Open</v>
      </c>
      <c r="C179" s="1" t="s">
        <v>2770</v>
      </c>
      <c r="D179" s="1" t="s">
        <v>699</v>
      </c>
      <c r="E179" s="1" t="s">
        <v>700</v>
      </c>
      <c r="F179" s="1" t="s">
        <v>48</v>
      </c>
      <c r="G179" s="1" t="s">
        <v>701</v>
      </c>
      <c r="H179" s="24">
        <v>44586</v>
      </c>
      <c r="I179" s="1"/>
      <c r="J179" s="1">
        <v>47.912717000000001</v>
      </c>
      <c r="K179" s="1">
        <v>106.994896</v>
      </c>
      <c r="L179" s="20">
        <v>0</v>
      </c>
      <c r="M179" s="20">
        <v>0.99930555555555556</v>
      </c>
      <c r="N179" s="1">
        <v>0.99042591560313398</v>
      </c>
      <c r="O179" s="1">
        <v>165.34193168091167</v>
      </c>
      <c r="P179" s="1">
        <v>1.8019552057537631</v>
      </c>
      <c r="Q179" s="1">
        <v>72.315111111111136</v>
      </c>
      <c r="R179" s="1">
        <v>0.88769025157359938</v>
      </c>
      <c r="S179" s="1">
        <v>128.6067725546059</v>
      </c>
      <c r="T179" s="1">
        <v>1.4405797295709675</v>
      </c>
      <c r="U179" s="1">
        <v>64.329448745519713</v>
      </c>
      <c r="V179" s="1">
        <v>1.0694344111863434</v>
      </c>
      <c r="W179" s="1">
        <v>153.0314701424501</v>
      </c>
      <c r="X179" s="1">
        <v>1.6539198451344086</v>
      </c>
      <c r="Y179" s="1">
        <v>65.63575734767025</v>
      </c>
      <c r="Z179" s="1">
        <v>0.75541112814492761</v>
      </c>
      <c r="AA179" s="1">
        <v>148.15747987117552</v>
      </c>
      <c r="AB179" s="1">
        <v>1.2180499938079876</v>
      </c>
      <c r="AC179" s="1">
        <v>57.938657834101384</v>
      </c>
    </row>
    <row r="180" spans="1:29" x14ac:dyDescent="0.2">
      <c r="A180" s="1" t="s">
        <v>702</v>
      </c>
      <c r="B180" s="1" t="str">
        <f t="shared" ca="1" si="2"/>
        <v>Open</v>
      </c>
      <c r="C180" s="1" t="s">
        <v>2770</v>
      </c>
      <c r="D180" s="1" t="s">
        <v>703</v>
      </c>
      <c r="E180" s="1" t="s">
        <v>704</v>
      </c>
      <c r="F180" s="1" t="s">
        <v>48</v>
      </c>
      <c r="G180" s="1" t="s">
        <v>705</v>
      </c>
      <c r="H180" s="24">
        <v>44588</v>
      </c>
      <c r="I180" s="1"/>
      <c r="J180" s="1">
        <v>47.918289999999999</v>
      </c>
      <c r="K180" s="1">
        <v>106.984183</v>
      </c>
      <c r="L180" s="20">
        <v>0</v>
      </c>
      <c r="M180" s="20">
        <v>0.99930555555555556</v>
      </c>
      <c r="N180" s="1">
        <v>1.2586669751052988</v>
      </c>
      <c r="O180" s="1">
        <v>222.18663796771133</v>
      </c>
      <c r="P180" s="1">
        <v>1.7700769335333337</v>
      </c>
      <c r="Q180" s="1">
        <v>84.96656594982079</v>
      </c>
      <c r="R180" s="1">
        <v>1.2262215083632479</v>
      </c>
      <c r="S180" s="1">
        <v>197.4217616334283</v>
      </c>
      <c r="T180" s="1">
        <v>1.5796536856236558</v>
      </c>
      <c r="U180" s="1">
        <v>80.362421146953409</v>
      </c>
      <c r="V180" s="1">
        <v>1.4232264216381953</v>
      </c>
      <c r="W180" s="1">
        <v>217.82804188034189</v>
      </c>
      <c r="X180" s="1">
        <v>1.7524482863838715</v>
      </c>
      <c r="Y180" s="1">
        <v>84.73451146953407</v>
      </c>
      <c r="Z180" s="1">
        <v>1.2715014178631243</v>
      </c>
      <c r="AA180" s="1">
        <v>265.42573268921092</v>
      </c>
      <c r="AB180" s="1">
        <v>1.4165975162242701</v>
      </c>
      <c r="AC180" s="1">
        <v>78.071662058371729</v>
      </c>
    </row>
    <row r="181" spans="1:29" x14ac:dyDescent="0.2">
      <c r="A181" s="1" t="s">
        <v>706</v>
      </c>
      <c r="B181" s="1" t="str">
        <f t="shared" ca="1" si="2"/>
        <v>Open</v>
      </c>
      <c r="C181" s="1" t="s">
        <v>2770</v>
      </c>
      <c r="D181" s="1" t="s">
        <v>707</v>
      </c>
      <c r="E181" s="1" t="s">
        <v>708</v>
      </c>
      <c r="F181" s="1" t="s">
        <v>145</v>
      </c>
      <c r="G181" s="1" t="s">
        <v>709</v>
      </c>
      <c r="H181" s="24">
        <v>44590</v>
      </c>
      <c r="I181" s="1"/>
      <c r="J181" s="1">
        <v>47.912846999999999</v>
      </c>
      <c r="K181" s="1">
        <v>106.82822899999999</v>
      </c>
      <c r="L181" s="20">
        <v>0.29166666666666669</v>
      </c>
      <c r="M181" s="20">
        <v>0.99930555555555556</v>
      </c>
      <c r="N181" s="1">
        <v>0.34907709251650521</v>
      </c>
      <c r="O181" s="1">
        <v>58.601057549857551</v>
      </c>
      <c r="P181" s="1">
        <v>1.0829112682591397</v>
      </c>
      <c r="Q181" s="1">
        <v>55.497627956989248</v>
      </c>
      <c r="R181" s="1">
        <v>0.37491737262773023</v>
      </c>
      <c r="S181" s="1">
        <v>60.364457264957281</v>
      </c>
      <c r="T181" s="1">
        <v>1.0543174178989245</v>
      </c>
      <c r="U181" s="1">
        <v>56.068586738351257</v>
      </c>
      <c r="V181" s="1">
        <v>0.35437996508761643</v>
      </c>
      <c r="W181" s="1">
        <v>54.799682298195627</v>
      </c>
      <c r="X181" s="1">
        <v>0.95502474740716836</v>
      </c>
      <c r="Y181" s="1">
        <v>44.9484211469534</v>
      </c>
      <c r="Z181" s="1">
        <v>0.28793327068706392</v>
      </c>
      <c r="AA181" s="1">
        <v>55.879975308641974</v>
      </c>
      <c r="AB181" s="1">
        <v>0.97884541442050688</v>
      </c>
      <c r="AC181" s="1">
        <v>42.987755760368657</v>
      </c>
    </row>
    <row r="182" spans="1:29" x14ac:dyDescent="0.2">
      <c r="A182" s="1" t="s">
        <v>710</v>
      </c>
      <c r="B182" s="1" t="str">
        <f t="shared" ca="1" si="2"/>
        <v>Open</v>
      </c>
      <c r="C182" s="1" t="s">
        <v>2770</v>
      </c>
      <c r="D182" s="1" t="s">
        <v>711</v>
      </c>
      <c r="E182" s="1" t="s">
        <v>712</v>
      </c>
      <c r="F182" s="1" t="s">
        <v>48</v>
      </c>
      <c r="G182" s="1" t="s">
        <v>713</v>
      </c>
      <c r="H182" s="24">
        <v>44592</v>
      </c>
      <c r="I182" s="1"/>
      <c r="J182" s="1">
        <v>47.902106000000003</v>
      </c>
      <c r="K182" s="1">
        <v>106.933415</v>
      </c>
      <c r="L182" s="20">
        <v>0.29166666666666669</v>
      </c>
      <c r="M182" s="20">
        <v>0.99930555555555556</v>
      </c>
      <c r="N182" s="1">
        <v>0.41317767596877492</v>
      </c>
      <c r="O182" s="1">
        <v>72.227601348528012</v>
      </c>
      <c r="P182" s="1">
        <v>1.2779005872021509</v>
      </c>
      <c r="Q182" s="1">
        <v>35.322493548387094</v>
      </c>
      <c r="R182" s="1">
        <v>0.57395673105080702</v>
      </c>
      <c r="S182" s="1">
        <v>89.305274928774921</v>
      </c>
      <c r="T182" s="1">
        <v>1.3774477633487461</v>
      </c>
      <c r="U182" s="1">
        <v>44.169399283154128</v>
      </c>
      <c r="V182" s="1">
        <v>0.63379082958322897</v>
      </c>
      <c r="W182" s="1">
        <v>90.377387103513783</v>
      </c>
      <c r="X182" s="1">
        <v>1.6925827553114694</v>
      </c>
      <c r="Y182" s="1">
        <v>45.082501792114691</v>
      </c>
      <c r="Z182" s="1">
        <v>0.32159941622222221</v>
      </c>
      <c r="AA182" s="1">
        <v>59.39509017713366</v>
      </c>
      <c r="AB182" s="1">
        <v>0.53138661178801838</v>
      </c>
      <c r="AC182" s="1">
        <v>26.087543010752682</v>
      </c>
    </row>
    <row r="183" spans="1:29" x14ac:dyDescent="0.2">
      <c r="A183" s="1" t="s">
        <v>714</v>
      </c>
      <c r="B183" s="1" t="str">
        <f t="shared" ca="1" si="2"/>
        <v>Open</v>
      </c>
      <c r="C183" s="1" t="s">
        <v>2770</v>
      </c>
      <c r="D183" s="1" t="s">
        <v>715</v>
      </c>
      <c r="E183" s="1" t="s">
        <v>716</v>
      </c>
      <c r="F183" s="1" t="s">
        <v>145</v>
      </c>
      <c r="G183" s="1" t="s">
        <v>717</v>
      </c>
      <c r="H183" s="24">
        <v>44588</v>
      </c>
      <c r="I183" s="1"/>
      <c r="J183" s="1">
        <v>47.908186000000001</v>
      </c>
      <c r="K183" s="1">
        <v>106.792203</v>
      </c>
      <c r="L183" s="20">
        <v>0</v>
      </c>
      <c r="M183" s="20">
        <v>0.99930555555555556</v>
      </c>
      <c r="N183" s="1">
        <v>1.1696578406268558</v>
      </c>
      <c r="O183" s="1">
        <v>174.60206815114711</v>
      </c>
      <c r="P183" s="1">
        <v>1.4634741023245172</v>
      </c>
      <c r="Q183" s="1">
        <v>99.108217028985521</v>
      </c>
      <c r="R183" s="1">
        <v>1.3712742135963911</v>
      </c>
      <c r="S183" s="1">
        <v>181.54111918328587</v>
      </c>
      <c r="T183" s="1">
        <v>1.4515268614810035</v>
      </c>
      <c r="U183" s="1">
        <v>98.471020430107515</v>
      </c>
      <c r="V183" s="1">
        <v>1.6382722020523266</v>
      </c>
      <c r="W183" s="1">
        <v>207.9493682051282</v>
      </c>
      <c r="X183" s="1">
        <v>1.5821552856551968</v>
      </c>
      <c r="Y183" s="1">
        <v>99.01172616487456</v>
      </c>
      <c r="Z183" s="1">
        <v>0.98776407008641998</v>
      </c>
      <c r="AA183" s="1">
        <v>153.98582340311324</v>
      </c>
      <c r="AB183" s="1">
        <v>0.91292603524692773</v>
      </c>
      <c r="AC183" s="1">
        <v>69.663338325652845</v>
      </c>
    </row>
    <row r="184" spans="1:29" x14ac:dyDescent="0.2">
      <c r="A184" s="1" t="s">
        <v>718</v>
      </c>
      <c r="B184" s="1" t="str">
        <f t="shared" ca="1" si="2"/>
        <v>Open</v>
      </c>
      <c r="C184" s="1" t="s">
        <v>2770</v>
      </c>
      <c r="D184" s="1" t="s">
        <v>719</v>
      </c>
      <c r="E184" s="1" t="s">
        <v>720</v>
      </c>
      <c r="F184" s="1" t="s">
        <v>33</v>
      </c>
      <c r="G184" s="1" t="s">
        <v>721</v>
      </c>
      <c r="H184" s="24">
        <v>44635</v>
      </c>
      <c r="I184" s="1"/>
      <c r="J184" s="1">
        <v>47.919079000000004</v>
      </c>
      <c r="K184" s="1">
        <v>106.903042</v>
      </c>
      <c r="L184" s="20">
        <v>0</v>
      </c>
      <c r="M184" s="20">
        <v>0.99930555555555556</v>
      </c>
      <c r="N184" s="1">
        <v>0.97905021143749271</v>
      </c>
      <c r="O184" s="1">
        <v>167.7970834757835</v>
      </c>
      <c r="P184" s="1">
        <v>1.1664273548677422</v>
      </c>
      <c r="Q184" s="1">
        <v>66.629986379928326</v>
      </c>
      <c r="R184" s="1">
        <v>0.9077182492905983</v>
      </c>
      <c r="S184" s="1">
        <v>147.33237179487182</v>
      </c>
      <c r="T184" s="1">
        <v>1.1866423877103947</v>
      </c>
      <c r="U184" s="1">
        <v>59.437354121863791</v>
      </c>
      <c r="V184" s="1">
        <v>1.0645586859354417</v>
      </c>
      <c r="W184" s="1">
        <v>168.92711278252614</v>
      </c>
      <c r="X184" s="1">
        <v>1.2530269173870967</v>
      </c>
      <c r="Y184" s="1">
        <v>64.026297132616492</v>
      </c>
      <c r="Z184" s="1">
        <v>0.81297928766559302</v>
      </c>
      <c r="AA184" s="1">
        <v>160.47665163714441</v>
      </c>
      <c r="AB184" s="1">
        <v>0.9988227392803376</v>
      </c>
      <c r="AC184" s="1">
        <v>50.510182795698917</v>
      </c>
    </row>
    <row r="185" spans="1:29" x14ac:dyDescent="0.2">
      <c r="A185" s="1" t="s">
        <v>722</v>
      </c>
      <c r="B185" s="1" t="str">
        <f t="shared" ca="1" si="2"/>
        <v>Open</v>
      </c>
      <c r="C185" s="1" t="s">
        <v>2770</v>
      </c>
      <c r="D185" s="1" t="s">
        <v>723</v>
      </c>
      <c r="E185" s="1" t="s">
        <v>724</v>
      </c>
      <c r="F185" s="1" t="s">
        <v>64</v>
      </c>
      <c r="G185" s="1" t="s">
        <v>725</v>
      </c>
      <c r="H185" s="24">
        <v>44646</v>
      </c>
      <c r="I185" s="1"/>
      <c r="J185" s="1">
        <v>47.893335999999998</v>
      </c>
      <c r="K185" s="1">
        <v>106.909138</v>
      </c>
      <c r="L185" s="20">
        <v>0</v>
      </c>
      <c r="M185" s="20">
        <v>0.99930555555555556</v>
      </c>
      <c r="N185" s="1">
        <v>1.1383479668371892</v>
      </c>
      <c r="O185" s="1">
        <v>204.76742729344733</v>
      </c>
      <c r="P185" s="1">
        <v>1.6914876421634408</v>
      </c>
      <c r="Q185" s="1">
        <v>63.858987455197116</v>
      </c>
      <c r="R185" s="1">
        <v>1.1066467397844255</v>
      </c>
      <c r="S185" s="1">
        <v>182.2305037986705</v>
      </c>
      <c r="T185" s="1">
        <v>1.3283859336168458</v>
      </c>
      <c r="U185" s="1">
        <v>54.505635483870975</v>
      </c>
      <c r="V185" s="1">
        <v>1.4694038693238369</v>
      </c>
      <c r="W185" s="1">
        <v>229.92644108262115</v>
      </c>
      <c r="X185" s="1">
        <v>1.5868052406236555</v>
      </c>
      <c r="Y185" s="1">
        <v>70.706391397849472</v>
      </c>
      <c r="Z185" s="1">
        <v>0.85317518950617266</v>
      </c>
      <c r="AA185" s="1">
        <v>180.71101290684624</v>
      </c>
      <c r="AB185" s="1">
        <v>1.0407459782085251</v>
      </c>
      <c r="AC185" s="1">
        <v>43.502001152073724</v>
      </c>
    </row>
    <row r="186" spans="1:29" x14ac:dyDescent="0.2">
      <c r="A186" s="1" t="s">
        <v>726</v>
      </c>
      <c r="B186" s="1" t="str">
        <f t="shared" ca="1" si="2"/>
        <v>Open</v>
      </c>
      <c r="C186" s="1" t="s">
        <v>2770</v>
      </c>
      <c r="D186" s="1" t="s">
        <v>727</v>
      </c>
      <c r="E186" s="1" t="s">
        <v>728</v>
      </c>
      <c r="F186" s="1" t="s">
        <v>64</v>
      </c>
      <c r="G186" s="1" t="s">
        <v>729</v>
      </c>
      <c r="H186" s="24">
        <v>44592</v>
      </c>
      <c r="I186" s="1"/>
      <c r="J186" s="1">
        <v>47.894568</v>
      </c>
      <c r="K186" s="1">
        <v>106.914404</v>
      </c>
      <c r="L186" s="20">
        <v>0.29166666666666669</v>
      </c>
      <c r="M186" s="20">
        <v>0.99930555555555556</v>
      </c>
      <c r="N186" s="1">
        <v>0.35529185986962969</v>
      </c>
      <c r="O186" s="1">
        <v>59.860724786324795</v>
      </c>
      <c r="P186" s="1">
        <v>1.6092496009053763</v>
      </c>
      <c r="Q186" s="1">
        <v>42.06219999999999</v>
      </c>
      <c r="R186" s="1">
        <v>0.43301333299762579</v>
      </c>
      <c r="S186" s="1">
        <v>66.482568034188034</v>
      </c>
      <c r="T186" s="1">
        <v>1.0613507110043015</v>
      </c>
      <c r="U186" s="1">
        <v>35.739951612903234</v>
      </c>
      <c r="V186" s="1">
        <v>0.48443797493105417</v>
      </c>
      <c r="W186" s="1">
        <v>78.681987901234592</v>
      </c>
      <c r="X186" s="1">
        <v>1.2173703184111113</v>
      </c>
      <c r="Y186" s="1">
        <v>45.839443010752689</v>
      </c>
      <c r="Z186" s="1">
        <v>0.3087341775807837</v>
      </c>
      <c r="AA186" s="1">
        <v>61.506441223832532</v>
      </c>
      <c r="AB186" s="1">
        <v>1.1449306393268051</v>
      </c>
      <c r="AC186" s="1">
        <v>29.079325652841788</v>
      </c>
    </row>
    <row r="187" spans="1:29" x14ac:dyDescent="0.2">
      <c r="A187" s="1" t="s">
        <v>730</v>
      </c>
      <c r="B187" s="1" t="str">
        <f t="shared" ca="1" si="2"/>
        <v>Open</v>
      </c>
      <c r="C187" s="1" t="s">
        <v>2770</v>
      </c>
      <c r="D187" s="1" t="s">
        <v>731</v>
      </c>
      <c r="E187" s="1" t="s">
        <v>732</v>
      </c>
      <c r="F187" s="1" t="s">
        <v>33</v>
      </c>
      <c r="G187" s="1" t="s">
        <v>733</v>
      </c>
      <c r="H187" s="24">
        <v>44592</v>
      </c>
      <c r="I187" s="1"/>
      <c r="J187" s="1">
        <v>47.917518999999999</v>
      </c>
      <c r="K187" s="1">
        <v>106.89730400000001</v>
      </c>
      <c r="L187" s="20">
        <v>0</v>
      </c>
      <c r="M187" s="20">
        <v>0.99930555555555556</v>
      </c>
      <c r="N187" s="1">
        <v>0.87379467081580231</v>
      </c>
      <c r="O187" s="1">
        <v>130.2529561063628</v>
      </c>
      <c r="P187" s="1">
        <v>1.0886959788240145</v>
      </c>
      <c r="Q187" s="1">
        <v>55.123774193548378</v>
      </c>
      <c r="R187" s="1">
        <v>0.76289757872412167</v>
      </c>
      <c r="S187" s="1">
        <v>100.98769922669923</v>
      </c>
      <c r="T187" s="1">
        <v>0.81400435746689459</v>
      </c>
      <c r="U187" s="1">
        <v>47.516866536331044</v>
      </c>
      <c r="V187" s="1">
        <v>0.85073913523830946</v>
      </c>
      <c r="W187" s="1">
        <v>131.08574830009499</v>
      </c>
      <c r="X187" s="1">
        <v>1.0465229123146953</v>
      </c>
      <c r="Y187" s="1">
        <v>51.898266666666665</v>
      </c>
      <c r="Z187" s="1">
        <v>0.56379188518339329</v>
      </c>
      <c r="AA187" s="1">
        <v>89.411863971523019</v>
      </c>
      <c r="AB187" s="1">
        <v>0.54714310228955465</v>
      </c>
      <c r="AC187" s="1">
        <v>36.6773886328725</v>
      </c>
    </row>
    <row r="188" spans="1:29" x14ac:dyDescent="0.2">
      <c r="A188" s="1" t="s">
        <v>734</v>
      </c>
      <c r="B188" s="1" t="str">
        <f t="shared" ca="1" si="2"/>
        <v>Open</v>
      </c>
      <c r="C188" s="1" t="s">
        <v>2770</v>
      </c>
      <c r="D188" s="1" t="s">
        <v>735</v>
      </c>
      <c r="E188" s="1" t="s">
        <v>736</v>
      </c>
      <c r="F188" s="1" t="s">
        <v>48</v>
      </c>
      <c r="G188" s="1" t="s">
        <v>737</v>
      </c>
      <c r="H188" s="24">
        <v>44607</v>
      </c>
      <c r="I188" s="1"/>
      <c r="J188" s="1">
        <v>47.912818999999999</v>
      </c>
      <c r="K188" s="1">
        <v>106.94218499999999</v>
      </c>
      <c r="L188" s="20">
        <v>0</v>
      </c>
      <c r="M188" s="20">
        <v>0.99930555555555556</v>
      </c>
      <c r="N188" s="1">
        <v>0.58794474296537536</v>
      </c>
      <c r="O188" s="1">
        <v>104.802534017094</v>
      </c>
      <c r="P188" s="1">
        <v>0.91689075142042997</v>
      </c>
      <c r="Q188" s="1">
        <v>42.816200716845884</v>
      </c>
      <c r="R188" s="1">
        <v>0.57176376905508075</v>
      </c>
      <c r="S188" s="1">
        <v>83.395057929724587</v>
      </c>
      <c r="T188" s="1">
        <v>0.80836482487706096</v>
      </c>
      <c r="U188" s="1">
        <v>40.593430465949815</v>
      </c>
      <c r="V188" s="1">
        <v>0.68427005097069316</v>
      </c>
      <c r="W188" s="1">
        <v>115.19069386514722</v>
      </c>
      <c r="X188" s="1">
        <v>1.0542135801007166</v>
      </c>
      <c r="Y188" s="1">
        <v>47.79430143369175</v>
      </c>
      <c r="Z188" s="1">
        <v>0.4029399247552336</v>
      </c>
      <c r="AA188" s="1">
        <v>71.436048845947383</v>
      </c>
      <c r="AB188" s="1">
        <v>0.6990009675260852</v>
      </c>
      <c r="AC188" s="1">
        <v>33.132387096774188</v>
      </c>
    </row>
    <row r="189" spans="1:29" x14ac:dyDescent="0.2">
      <c r="A189" s="1" t="s">
        <v>738</v>
      </c>
      <c r="B189" s="1" t="str">
        <f t="shared" ca="1" si="2"/>
        <v>Open</v>
      </c>
      <c r="C189" s="1" t="s">
        <v>2770</v>
      </c>
      <c r="D189" s="1" t="s">
        <v>739</v>
      </c>
      <c r="E189" s="1" t="s">
        <v>740</v>
      </c>
      <c r="F189" s="1" t="s">
        <v>48</v>
      </c>
      <c r="G189" s="1" t="s">
        <v>741</v>
      </c>
      <c r="H189" s="24">
        <v>44607</v>
      </c>
      <c r="I189" s="1"/>
      <c r="J189" s="1">
        <v>47.921472000000001</v>
      </c>
      <c r="K189" s="1">
        <v>106.95184</v>
      </c>
      <c r="L189" s="20">
        <v>0</v>
      </c>
      <c r="M189" s="20">
        <v>0.99930555555555556</v>
      </c>
      <c r="N189" s="1">
        <v>0.96077779402214469</v>
      </c>
      <c r="O189" s="1">
        <v>166.32769813519815</v>
      </c>
      <c r="P189" s="1">
        <v>1.2247293487301079</v>
      </c>
      <c r="Q189" s="1">
        <v>56.490612903225816</v>
      </c>
      <c r="R189" s="1">
        <v>0.96278451355745487</v>
      </c>
      <c r="S189" s="1">
        <v>144.87028774928777</v>
      </c>
      <c r="T189" s="1">
        <v>1.008026835685663</v>
      </c>
      <c r="U189" s="1">
        <v>55.123289247311824</v>
      </c>
      <c r="V189" s="1">
        <v>1.009357633616714</v>
      </c>
      <c r="W189" s="1">
        <v>167.16812294396962</v>
      </c>
      <c r="X189" s="1">
        <v>1.0407783489207885</v>
      </c>
      <c r="Y189" s="1">
        <v>57.699848745519709</v>
      </c>
      <c r="Z189" s="1">
        <v>0.79610756785453585</v>
      </c>
      <c r="AA189" s="1">
        <v>173.02290338164258</v>
      </c>
      <c r="AB189" s="1">
        <v>1.0796752462553763</v>
      </c>
      <c r="AC189" s="1">
        <v>54.970604070660528</v>
      </c>
    </row>
    <row r="190" spans="1:29" x14ac:dyDescent="0.2">
      <c r="A190" s="1" t="s">
        <v>742</v>
      </c>
      <c r="B190" s="1" t="str">
        <f t="shared" ca="1" si="2"/>
        <v>Open</v>
      </c>
      <c r="C190" s="1" t="s">
        <v>2770</v>
      </c>
      <c r="D190" s="1" t="s">
        <v>743</v>
      </c>
      <c r="E190" s="1" t="s">
        <v>744</v>
      </c>
      <c r="F190" s="1" t="s">
        <v>48</v>
      </c>
      <c r="G190" s="1" t="s">
        <v>745</v>
      </c>
      <c r="H190" s="24">
        <v>44635</v>
      </c>
      <c r="I190" s="1"/>
      <c r="J190" s="1">
        <v>47.922837000000001</v>
      </c>
      <c r="K190" s="1">
        <v>106.942661</v>
      </c>
      <c r="L190" s="20">
        <v>0</v>
      </c>
      <c r="M190" s="20">
        <v>0.99930555555555556</v>
      </c>
      <c r="N190" s="1">
        <v>0.77594439798368298</v>
      </c>
      <c r="O190" s="1">
        <v>138.67852564102566</v>
      </c>
      <c r="P190" s="1">
        <v>0.99951360182301574</v>
      </c>
      <c r="Q190" s="1">
        <v>46.469395238095245</v>
      </c>
      <c r="R190" s="1">
        <v>0.84357007103418802</v>
      </c>
      <c r="S190" s="1">
        <v>141.20520085470088</v>
      </c>
      <c r="T190" s="1">
        <v>0.91278797613440854</v>
      </c>
      <c r="U190" s="1">
        <v>48.973050896057352</v>
      </c>
      <c r="V190" s="1">
        <v>0.83739729627244064</v>
      </c>
      <c r="W190" s="1">
        <v>144.90124624881295</v>
      </c>
      <c r="X190" s="1">
        <v>0.95276776960716825</v>
      </c>
      <c r="Y190" s="1">
        <v>47.956835483870968</v>
      </c>
      <c r="Z190" s="1">
        <v>0.64227198275147612</v>
      </c>
      <c r="AA190" s="1">
        <v>142.34088566827694</v>
      </c>
      <c r="AB190" s="1">
        <v>0.57019013238133642</v>
      </c>
      <c r="AC190" s="1">
        <v>35.968978494623649</v>
      </c>
    </row>
    <row r="191" spans="1:29" x14ac:dyDescent="0.2">
      <c r="A191" s="1" t="s">
        <v>746</v>
      </c>
      <c r="B191" s="1" t="str">
        <f t="shared" ca="1" si="2"/>
        <v>Open</v>
      </c>
      <c r="C191" s="1" t="s">
        <v>2770</v>
      </c>
      <c r="D191" s="1" t="s">
        <v>747</v>
      </c>
      <c r="E191" s="1" t="s">
        <v>748</v>
      </c>
      <c r="F191" s="1" t="s">
        <v>11</v>
      </c>
      <c r="G191" s="1" t="s">
        <v>749</v>
      </c>
      <c r="H191" s="24">
        <v>44646</v>
      </c>
      <c r="I191" s="1"/>
      <c r="J191" s="1">
        <v>47.919775999999999</v>
      </c>
      <c r="K191" s="1">
        <v>106.923134</v>
      </c>
      <c r="L191" s="20">
        <v>0.29166666666666669</v>
      </c>
      <c r="M191" s="20">
        <v>0.99930555555555556</v>
      </c>
      <c r="N191" s="1">
        <v>0.87827812318555676</v>
      </c>
      <c r="O191" s="1">
        <v>156.35608509847643</v>
      </c>
      <c r="P191" s="1">
        <v>0.86027659871541218</v>
      </c>
      <c r="Q191" s="1">
        <v>68.984491397849453</v>
      </c>
      <c r="R191" s="1">
        <v>0.90378398953371331</v>
      </c>
      <c r="S191" s="1">
        <v>150.35195441595442</v>
      </c>
      <c r="T191" s="1">
        <v>0.86848719607132596</v>
      </c>
      <c r="U191" s="1">
        <v>61.805287813620062</v>
      </c>
      <c r="V191" s="1">
        <v>0.8354162436583098</v>
      </c>
      <c r="W191" s="1">
        <v>153.58199741690407</v>
      </c>
      <c r="X191" s="1">
        <v>0.8905491926835124</v>
      </c>
      <c r="Y191" s="1">
        <v>52.763906093189945</v>
      </c>
      <c r="Z191" s="1">
        <v>0.58861767549490063</v>
      </c>
      <c r="AA191" s="1">
        <v>131.66552281266775</v>
      </c>
      <c r="AB191" s="1">
        <v>0.53537994908256537</v>
      </c>
      <c r="AC191" s="1">
        <v>53.167461213517676</v>
      </c>
    </row>
    <row r="192" spans="1:29" x14ac:dyDescent="0.2">
      <c r="A192" s="1" t="s">
        <v>750</v>
      </c>
      <c r="B192" s="1" t="str">
        <f t="shared" ca="1" si="2"/>
        <v>Open</v>
      </c>
      <c r="C192" s="1" t="s">
        <v>2770</v>
      </c>
      <c r="D192" s="1" t="s">
        <v>751</v>
      </c>
      <c r="E192" s="1" t="s">
        <v>752</v>
      </c>
      <c r="F192" s="1" t="s">
        <v>28</v>
      </c>
      <c r="G192" s="1" t="s">
        <v>753</v>
      </c>
      <c r="H192" s="24">
        <v>44640</v>
      </c>
      <c r="I192" s="1"/>
      <c r="J192" s="1">
        <v>47.920056000000002</v>
      </c>
      <c r="K192" s="1">
        <v>106.890429</v>
      </c>
      <c r="L192" s="20">
        <v>0</v>
      </c>
      <c r="M192" s="20">
        <v>0.99930555555555556</v>
      </c>
      <c r="N192" s="1">
        <v>0.56547882038974351</v>
      </c>
      <c r="O192" s="1">
        <v>74.768508262108242</v>
      </c>
      <c r="P192" s="1">
        <v>0.53770803919885057</v>
      </c>
      <c r="Q192" s="1">
        <v>37.749689655172411</v>
      </c>
      <c r="R192" s="1">
        <v>0.60792653487844239</v>
      </c>
      <c r="S192" s="1">
        <v>78.581951092117777</v>
      </c>
      <c r="T192" s="1">
        <v>0.78095124615770628</v>
      </c>
      <c r="U192" s="1">
        <v>44.665419713261649</v>
      </c>
      <c r="V192" s="1">
        <v>0.68677227819126319</v>
      </c>
      <c r="W192" s="1">
        <v>81.413034795821446</v>
      </c>
      <c r="X192" s="1">
        <v>0.76538344798422919</v>
      </c>
      <c r="Y192" s="1">
        <v>46.603146594982071</v>
      </c>
      <c r="Z192" s="1">
        <v>0.40178356557273215</v>
      </c>
      <c r="AA192" s="1">
        <v>60.332996779388075</v>
      </c>
      <c r="AB192" s="1">
        <v>0.54715671065860227</v>
      </c>
      <c r="AC192" s="1">
        <v>31.593086021505371</v>
      </c>
    </row>
    <row r="193" spans="1:29" x14ac:dyDescent="0.2">
      <c r="A193" s="1" t="s">
        <v>754</v>
      </c>
      <c r="B193" s="1" t="str">
        <f t="shared" ca="1" si="2"/>
        <v>Open</v>
      </c>
      <c r="C193" s="1" t="s">
        <v>2770</v>
      </c>
      <c r="D193" s="1" t="s">
        <v>755</v>
      </c>
      <c r="E193" s="1" t="s">
        <v>756</v>
      </c>
      <c r="F193" s="1" t="s">
        <v>28</v>
      </c>
      <c r="G193" s="1" t="s">
        <v>757</v>
      </c>
      <c r="H193" s="24">
        <v>44620</v>
      </c>
      <c r="I193" s="1"/>
      <c r="J193" s="1">
        <v>47.923381999999997</v>
      </c>
      <c r="K193" s="1">
        <v>106.88435800000001</v>
      </c>
      <c r="L193" s="20">
        <v>0</v>
      </c>
      <c r="M193" s="20">
        <v>0.99930555555555556</v>
      </c>
      <c r="N193" s="1">
        <v>0.88380026665190881</v>
      </c>
      <c r="O193" s="1">
        <v>148.91521168091165</v>
      </c>
      <c r="P193" s="1">
        <v>0.95913950596810038</v>
      </c>
      <c r="Q193" s="1">
        <v>54.529939784946237</v>
      </c>
      <c r="R193" s="1">
        <v>0.90436016796248797</v>
      </c>
      <c r="S193" s="1">
        <v>126.47104415954418</v>
      </c>
      <c r="T193" s="1">
        <v>0.93931970110501783</v>
      </c>
      <c r="U193" s="1">
        <v>60.089630465949817</v>
      </c>
      <c r="V193" s="1">
        <v>1.2398607068186704</v>
      </c>
      <c r="W193" s="1">
        <v>189.46829886039885</v>
      </c>
      <c r="X193" s="1">
        <v>1.1368472191906813</v>
      </c>
      <c r="Y193" s="1">
        <v>65.472910394265227</v>
      </c>
      <c r="Z193" s="1">
        <v>0.66591195967732875</v>
      </c>
      <c r="AA193" s="1">
        <v>128.18340460157128</v>
      </c>
      <c r="AB193" s="1">
        <v>0.75250816210445493</v>
      </c>
      <c r="AC193" s="1">
        <v>53.850099846390179</v>
      </c>
    </row>
    <row r="194" spans="1:29" x14ac:dyDescent="0.2">
      <c r="A194" s="1" t="s">
        <v>758</v>
      </c>
      <c r="B194" s="1" t="str">
        <f t="shared" ca="1" si="2"/>
        <v>Open</v>
      </c>
      <c r="C194" s="1" t="s">
        <v>2770</v>
      </c>
      <c r="D194" s="1" t="s">
        <v>759</v>
      </c>
      <c r="E194" s="1" t="s">
        <v>760</v>
      </c>
      <c r="F194" s="1" t="s">
        <v>11</v>
      </c>
      <c r="G194" s="1" t="s">
        <v>761</v>
      </c>
      <c r="H194" s="24">
        <v>44638</v>
      </c>
      <c r="I194" s="1"/>
      <c r="J194" s="1">
        <v>47.913826</v>
      </c>
      <c r="K194" s="1">
        <v>106.91559700000001</v>
      </c>
      <c r="L194" s="20">
        <v>0</v>
      </c>
      <c r="M194" s="20">
        <v>0.99930555555555556</v>
      </c>
      <c r="N194" s="1">
        <v>1.1862273411890787</v>
      </c>
      <c r="O194" s="1">
        <v>217.19261779677115</v>
      </c>
      <c r="P194" s="1">
        <v>1.0797386850835125</v>
      </c>
      <c r="Q194" s="1">
        <v>102.58524301075272</v>
      </c>
      <c r="R194" s="1">
        <v>1.3857770361961066</v>
      </c>
      <c r="S194" s="1">
        <v>223.34687654320987</v>
      </c>
      <c r="T194" s="1">
        <v>1.178685313041935</v>
      </c>
      <c r="U194" s="1">
        <v>106.51583297491042</v>
      </c>
      <c r="V194" s="1">
        <v>1.6876134456594258</v>
      </c>
      <c r="W194" s="1">
        <v>282.89889007597344</v>
      </c>
      <c r="X194" s="1">
        <v>1.2660291099161294</v>
      </c>
      <c r="Y194" s="1">
        <v>97.936883154121901</v>
      </c>
      <c r="Z194" s="1">
        <v>0.85515737307999995</v>
      </c>
      <c r="AA194" s="1">
        <v>165.0464090606549</v>
      </c>
      <c r="AB194" s="1">
        <v>0.82333858811641247</v>
      </c>
      <c r="AC194" s="1">
        <v>82.534021267016257</v>
      </c>
    </row>
    <row r="195" spans="1:29" x14ac:dyDescent="0.2">
      <c r="A195" s="1" t="s">
        <v>762</v>
      </c>
      <c r="B195" s="1" t="str">
        <f t="shared" ca="1" si="2"/>
        <v>Open</v>
      </c>
      <c r="C195" s="1" t="s">
        <v>2770</v>
      </c>
      <c r="D195" s="1" t="s">
        <v>763</v>
      </c>
      <c r="E195" s="1" t="s">
        <v>764</v>
      </c>
      <c r="F195" s="1" t="s">
        <v>33</v>
      </c>
      <c r="G195" s="1" t="s">
        <v>765</v>
      </c>
      <c r="H195" s="24">
        <v>44643</v>
      </c>
      <c r="I195" s="1"/>
      <c r="J195" s="1">
        <v>47.922283</v>
      </c>
      <c r="K195" s="1">
        <v>106.905078</v>
      </c>
      <c r="L195" s="20">
        <v>0</v>
      </c>
      <c r="M195" s="20">
        <v>0.99930555555555556</v>
      </c>
      <c r="N195" s="1">
        <v>1.3180172909314907</v>
      </c>
      <c r="O195" s="1">
        <v>229.21412668566003</v>
      </c>
      <c r="P195" s="1">
        <v>1.2352120134928315</v>
      </c>
      <c r="Q195" s="1">
        <v>104.90647025089606</v>
      </c>
      <c r="R195" s="1">
        <v>1.2739191460156694</v>
      </c>
      <c r="S195" s="1">
        <v>194.32183855650524</v>
      </c>
      <c r="T195" s="1">
        <v>1.255676468613262</v>
      </c>
      <c r="U195" s="1">
        <v>88.623833691756261</v>
      </c>
      <c r="V195" s="1">
        <v>1.3841373836395252</v>
      </c>
      <c r="W195" s="1">
        <v>210.62080374169045</v>
      </c>
      <c r="X195" s="1">
        <v>1.2617047662684588</v>
      </c>
      <c r="Y195" s="1">
        <v>82.947475627240138</v>
      </c>
      <c r="Z195" s="1">
        <v>1.0211276368333331</v>
      </c>
      <c r="AA195" s="1">
        <v>192.8574895104895</v>
      </c>
      <c r="AB195" s="1">
        <v>0.89558871952539632</v>
      </c>
      <c r="AC195" s="1">
        <v>82.862611904761891</v>
      </c>
    </row>
    <row r="196" spans="1:29" x14ac:dyDescent="0.2">
      <c r="A196" s="1" t="s">
        <v>766</v>
      </c>
      <c r="B196" s="1" t="str">
        <f t="shared" ref="B196:B259" ca="1" si="3">IF(AND(NOT(ISBLANK(I196)), I196 &lt;= TODAY()), "Closed", IF(H196 &gt; TODAY(), "Will open in future", "Open"))</f>
        <v>Closed</v>
      </c>
      <c r="C196" s="1" t="s">
        <v>2770</v>
      </c>
      <c r="D196" s="1" t="s">
        <v>767</v>
      </c>
      <c r="E196" s="1" t="s">
        <v>768</v>
      </c>
      <c r="F196" s="1" t="s">
        <v>11</v>
      </c>
      <c r="G196" s="1" t="s">
        <v>769</v>
      </c>
      <c r="H196" s="24">
        <v>44615</v>
      </c>
      <c r="I196" s="24">
        <v>45321</v>
      </c>
      <c r="J196" s="1">
        <v>47.921745899999998</v>
      </c>
      <c r="K196" s="1">
        <v>106.922442</v>
      </c>
      <c r="L196" s="20">
        <v>0.29166666666666669</v>
      </c>
      <c r="M196" s="20">
        <v>0.99930555555555556</v>
      </c>
      <c r="N196" s="1">
        <v>0.73639092957822683</v>
      </c>
      <c r="O196" s="1">
        <v>120.83034189340572</v>
      </c>
      <c r="P196" s="1">
        <v>1.0305683280225519</v>
      </c>
      <c r="Q196" s="1">
        <v>50.741335744455974</v>
      </c>
      <c r="R196" s="1">
        <v>0.77505565528977927</v>
      </c>
      <c r="S196" s="1">
        <v>110.38798636394478</v>
      </c>
      <c r="T196" s="1">
        <v>0.95323771147676561</v>
      </c>
      <c r="U196" s="1">
        <v>50.072527276006774</v>
      </c>
      <c r="V196" s="1">
        <v>0.92053739661526512</v>
      </c>
      <c r="W196" s="1">
        <v>133.18199833686319</v>
      </c>
      <c r="X196" s="1">
        <v>1.0622171211785376</v>
      </c>
      <c r="Y196" s="1">
        <v>52.728527320208435</v>
      </c>
      <c r="Z196" s="1">
        <v>0.61668712407906823</v>
      </c>
      <c r="AA196" s="1">
        <v>111.42882484304808</v>
      </c>
      <c r="AB196" s="1">
        <v>0.75426453629546997</v>
      </c>
      <c r="AC196" s="1">
        <v>41.5584292989384</v>
      </c>
    </row>
    <row r="197" spans="1:29" x14ac:dyDescent="0.2">
      <c r="A197" s="1" t="s">
        <v>770</v>
      </c>
      <c r="B197" s="1" t="str">
        <f t="shared" ca="1" si="3"/>
        <v>Open</v>
      </c>
      <c r="C197" s="1" t="s">
        <v>2770</v>
      </c>
      <c r="D197" s="1" t="s">
        <v>771</v>
      </c>
      <c r="E197" s="1" t="s">
        <v>772</v>
      </c>
      <c r="F197" s="1" t="s">
        <v>145</v>
      </c>
      <c r="G197" s="1" t="s">
        <v>773</v>
      </c>
      <c r="H197" s="24">
        <v>44618</v>
      </c>
      <c r="I197" s="1"/>
      <c r="J197" s="1">
        <v>47.910589000000002</v>
      </c>
      <c r="K197" s="1">
        <v>106.819523</v>
      </c>
      <c r="L197" s="20">
        <v>0</v>
      </c>
      <c r="M197" s="20">
        <v>0.99930555555555556</v>
      </c>
      <c r="N197" s="1">
        <v>0.92135602963200369</v>
      </c>
      <c r="O197" s="1">
        <v>151.58866866096866</v>
      </c>
      <c r="P197" s="1">
        <v>0.84026552616415795</v>
      </c>
      <c r="Q197" s="1">
        <v>51.67633261648745</v>
      </c>
      <c r="R197" s="1">
        <v>0.91220536443399813</v>
      </c>
      <c r="S197" s="1">
        <v>113.53841547958218</v>
      </c>
      <c r="T197" s="1">
        <v>0.75304696775555569</v>
      </c>
      <c r="U197" s="1">
        <v>49.726091039426528</v>
      </c>
      <c r="V197" s="1">
        <v>1.1309787422581195</v>
      </c>
      <c r="W197" s="1">
        <v>154.96819285849952</v>
      </c>
      <c r="X197" s="1">
        <v>0.90698395773584239</v>
      </c>
      <c r="Y197" s="1">
        <v>54.625028673835118</v>
      </c>
      <c r="Z197" s="1">
        <v>0.82767375987922698</v>
      </c>
      <c r="AA197" s="1">
        <v>168.85416049382715</v>
      </c>
      <c r="AB197" s="1">
        <v>0.73074390888364038</v>
      </c>
      <c r="AC197" s="1">
        <v>49.443616359447013</v>
      </c>
    </row>
    <row r="198" spans="1:29" x14ac:dyDescent="0.2">
      <c r="A198" s="1" t="s">
        <v>774</v>
      </c>
      <c r="B198" s="1" t="str">
        <f t="shared" ca="1" si="3"/>
        <v>Open</v>
      </c>
      <c r="C198" s="1" t="s">
        <v>2770</v>
      </c>
      <c r="D198" s="1" t="s">
        <v>775</v>
      </c>
      <c r="E198" s="1" t="s">
        <v>776</v>
      </c>
      <c r="F198" s="1" t="s">
        <v>28</v>
      </c>
      <c r="G198" s="1" t="s">
        <v>777</v>
      </c>
      <c r="H198" s="24">
        <v>44633</v>
      </c>
      <c r="I198" s="1"/>
      <c r="J198" s="1">
        <v>47.908907999999997</v>
      </c>
      <c r="K198" s="1">
        <v>106.88481899999999</v>
      </c>
      <c r="L198" s="20">
        <v>0</v>
      </c>
      <c r="M198" s="20">
        <v>0.99930555555555556</v>
      </c>
      <c r="N198" s="1">
        <v>1.3363774472887748</v>
      </c>
      <c r="O198" s="1">
        <v>214.77018902184236</v>
      </c>
      <c r="P198" s="1">
        <v>0.7454957596845877</v>
      </c>
      <c r="Q198" s="1">
        <v>63.977015770609334</v>
      </c>
      <c r="R198" s="1">
        <v>1.3135047126201329</v>
      </c>
      <c r="S198" s="1">
        <v>184.70799525166194</v>
      </c>
      <c r="T198" s="1">
        <v>0.77559546208100361</v>
      </c>
      <c r="U198" s="1">
        <v>66.398074910394257</v>
      </c>
      <c r="V198" s="1">
        <v>1.8380699075766576</v>
      </c>
      <c r="W198" s="1">
        <v>240.32407789173794</v>
      </c>
      <c r="X198" s="1">
        <v>1.3081487048071683</v>
      </c>
      <c r="Y198" s="1">
        <v>88.866445519713253</v>
      </c>
      <c r="Z198" s="1">
        <v>1.1185865424004298</v>
      </c>
      <c r="AA198" s="1">
        <v>200.07286527106817</v>
      </c>
      <c r="AB198" s="1">
        <v>0.71824371602726578</v>
      </c>
      <c r="AC198" s="1">
        <v>64.31113095238095</v>
      </c>
    </row>
    <row r="199" spans="1:29" x14ac:dyDescent="0.2">
      <c r="A199" s="1" t="s">
        <v>778</v>
      </c>
      <c r="B199" s="1" t="str">
        <f t="shared" ca="1" si="3"/>
        <v>Closed</v>
      </c>
      <c r="C199" s="1" t="s">
        <v>2770</v>
      </c>
      <c r="D199" s="1" t="s">
        <v>779</v>
      </c>
      <c r="E199" s="1" t="s">
        <v>780</v>
      </c>
      <c r="F199" s="1" t="s">
        <v>33</v>
      </c>
      <c r="G199" s="1" t="s">
        <v>781</v>
      </c>
      <c r="H199" s="24">
        <v>44635</v>
      </c>
      <c r="I199" s="24">
        <v>45552</v>
      </c>
      <c r="J199" s="1">
        <v>47.9161</v>
      </c>
      <c r="K199" s="1">
        <v>106.90347199999999</v>
      </c>
      <c r="L199" s="20">
        <v>0.29166666666666669</v>
      </c>
      <c r="M199" s="20">
        <v>0.99930555555555556</v>
      </c>
      <c r="N199" s="1">
        <v>0.73639092957822683</v>
      </c>
      <c r="O199" s="1">
        <v>120.83034189340572</v>
      </c>
      <c r="P199" s="1">
        <v>1.0305683280225519</v>
      </c>
      <c r="Q199" s="1">
        <v>50.741335744455974</v>
      </c>
      <c r="R199" s="1">
        <v>0.77505565528977927</v>
      </c>
      <c r="S199" s="1">
        <v>110.38798636394478</v>
      </c>
      <c r="T199" s="1">
        <v>0.95323771147676561</v>
      </c>
      <c r="U199" s="1">
        <v>50.072527276006774</v>
      </c>
      <c r="V199" s="1">
        <v>0.92053739661526512</v>
      </c>
      <c r="W199" s="1">
        <v>133.18199833686319</v>
      </c>
      <c r="X199" s="1">
        <v>1.0622171211785376</v>
      </c>
      <c r="Y199" s="1">
        <v>52.728527320208435</v>
      </c>
      <c r="Z199" s="1">
        <v>0.61668712407906823</v>
      </c>
      <c r="AA199" s="1">
        <v>111.42882484304808</v>
      </c>
      <c r="AB199" s="1">
        <v>0.75426453629546997</v>
      </c>
      <c r="AC199" s="1">
        <v>41.5584292989384</v>
      </c>
    </row>
    <row r="200" spans="1:29" x14ac:dyDescent="0.2">
      <c r="A200" s="1" t="s">
        <v>782</v>
      </c>
      <c r="B200" s="1" t="str">
        <f t="shared" ca="1" si="3"/>
        <v>Open</v>
      </c>
      <c r="C200" s="1" t="s">
        <v>2770</v>
      </c>
      <c r="D200" s="1" t="s">
        <v>783</v>
      </c>
      <c r="E200" s="1" t="s">
        <v>784</v>
      </c>
      <c r="F200" s="1" t="s">
        <v>11</v>
      </c>
      <c r="G200" s="1" t="s">
        <v>785</v>
      </c>
      <c r="H200" s="24">
        <v>44635</v>
      </c>
      <c r="I200" s="1"/>
      <c r="J200" s="1">
        <v>47.922279000000003</v>
      </c>
      <c r="K200" s="1">
        <v>106.921695</v>
      </c>
      <c r="L200" s="20">
        <v>0</v>
      </c>
      <c r="M200" s="20">
        <v>0.99930555555555556</v>
      </c>
      <c r="N200" s="1">
        <v>1.1413533828667994</v>
      </c>
      <c r="O200" s="1">
        <v>214.48420917378914</v>
      </c>
      <c r="P200" s="1">
        <v>1.6351795381139782</v>
      </c>
      <c r="Q200" s="1">
        <v>83.798469175627247</v>
      </c>
      <c r="R200" s="1">
        <v>0.97616940497293447</v>
      </c>
      <c r="S200" s="1">
        <v>165.49201944025469</v>
      </c>
      <c r="T200" s="1">
        <v>0.90361501400379518</v>
      </c>
      <c r="U200" s="1">
        <v>66.040049335863372</v>
      </c>
      <c r="V200" s="1">
        <v>0.8842253181041787</v>
      </c>
      <c r="W200" s="1">
        <v>158.92838404558404</v>
      </c>
      <c r="X200" s="1">
        <v>0.81782283495053765</v>
      </c>
      <c r="Y200" s="1">
        <v>46.50244444444445</v>
      </c>
      <c r="Z200" s="1">
        <v>0.68517896207675788</v>
      </c>
      <c r="AA200" s="1">
        <v>132.33161943102519</v>
      </c>
      <c r="AB200" s="1">
        <v>0.91349441967818745</v>
      </c>
      <c r="AC200" s="1">
        <v>56.245305683563743</v>
      </c>
    </row>
    <row r="201" spans="1:29" x14ac:dyDescent="0.2">
      <c r="A201" s="1" t="s">
        <v>786</v>
      </c>
      <c r="B201" s="1" t="str">
        <f t="shared" ca="1" si="3"/>
        <v>Open</v>
      </c>
      <c r="C201" s="1" t="s">
        <v>2770</v>
      </c>
      <c r="D201" s="1" t="s">
        <v>787</v>
      </c>
      <c r="E201" s="1" t="s">
        <v>788</v>
      </c>
      <c r="F201" s="1" t="s">
        <v>64</v>
      </c>
      <c r="G201" s="1" t="s">
        <v>789</v>
      </c>
      <c r="H201" s="24">
        <v>44643</v>
      </c>
      <c r="I201" s="1"/>
      <c r="J201" s="1">
        <v>47.881622</v>
      </c>
      <c r="K201" s="1">
        <v>106.919884</v>
      </c>
      <c r="L201" s="20">
        <v>0</v>
      </c>
      <c r="M201" s="20">
        <v>0.99930555555555556</v>
      </c>
      <c r="N201" s="1">
        <v>1.007825245371909</v>
      </c>
      <c r="O201" s="1">
        <v>169.51543688509022</v>
      </c>
      <c r="P201" s="1">
        <v>1.0952345658179212</v>
      </c>
      <c r="Q201" s="1">
        <v>57.936514336917575</v>
      </c>
      <c r="R201" s="1">
        <v>0.92734462032763532</v>
      </c>
      <c r="S201" s="1">
        <v>137.02876020892688</v>
      </c>
      <c r="T201" s="1">
        <v>1.5897856848265235</v>
      </c>
      <c r="U201" s="1">
        <v>48.34896559139785</v>
      </c>
      <c r="V201" s="1">
        <v>1.0084353445576637</v>
      </c>
      <c r="W201" s="1">
        <v>156.80033798670465</v>
      </c>
      <c r="X201" s="1">
        <v>2.204996493420071</v>
      </c>
      <c r="Y201" s="1">
        <v>59.386840143369177</v>
      </c>
      <c r="Z201" s="1">
        <v>0.66029392000020659</v>
      </c>
      <c r="AA201" s="1">
        <v>118.96216356992444</v>
      </c>
      <c r="AB201" s="1">
        <v>0.97091635855798764</v>
      </c>
      <c r="AC201" s="1">
        <v>40.503297619047622</v>
      </c>
    </row>
    <row r="202" spans="1:29" x14ac:dyDescent="0.2">
      <c r="A202" s="1" t="s">
        <v>790</v>
      </c>
      <c r="B202" s="1" t="str">
        <f t="shared" ca="1" si="3"/>
        <v>Open</v>
      </c>
      <c r="C202" s="1" t="s">
        <v>2770</v>
      </c>
      <c r="D202" s="1" t="s">
        <v>791</v>
      </c>
      <c r="E202" s="1" t="s">
        <v>792</v>
      </c>
      <c r="F202" s="1" t="s">
        <v>64</v>
      </c>
      <c r="G202" s="1" t="s">
        <v>793</v>
      </c>
      <c r="H202" s="24">
        <v>44651</v>
      </c>
      <c r="I202" s="1"/>
      <c r="J202" s="1">
        <v>47.857647</v>
      </c>
      <c r="K202" s="1">
        <v>106.762332</v>
      </c>
      <c r="L202" s="20">
        <v>0</v>
      </c>
      <c r="M202" s="20">
        <v>0.99930555555555556</v>
      </c>
      <c r="N202" s="1">
        <v>0.90496231072360855</v>
      </c>
      <c r="O202" s="1">
        <v>127.42168507122507</v>
      </c>
      <c r="P202" s="1">
        <v>1.5363538233777776</v>
      </c>
      <c r="Q202" s="1">
        <v>92.883960931899651</v>
      </c>
      <c r="R202" s="1">
        <v>0.93593581820465344</v>
      </c>
      <c r="S202" s="1">
        <v>110.41512820512821</v>
      </c>
      <c r="T202" s="1">
        <v>1.4418188660071689</v>
      </c>
      <c r="U202" s="1">
        <v>85.58061039426525</v>
      </c>
      <c r="V202" s="1">
        <v>1.2041922521344726</v>
      </c>
      <c r="W202" s="1">
        <v>138.52837196581197</v>
      </c>
      <c r="X202" s="1">
        <v>1.7264442583913979</v>
      </c>
      <c r="Y202" s="1">
        <v>92.966239426523316</v>
      </c>
      <c r="Z202" s="1">
        <v>0.78328649816639828</v>
      </c>
      <c r="AA202" s="1">
        <v>113.61712614063339</v>
      </c>
      <c r="AB202" s="1">
        <v>0.99707949432987719</v>
      </c>
      <c r="AC202" s="1">
        <v>72.284315284178192</v>
      </c>
    </row>
    <row r="203" spans="1:29" x14ac:dyDescent="0.2">
      <c r="A203" s="1" t="s">
        <v>794</v>
      </c>
      <c r="B203" s="1" t="str">
        <f t="shared" ca="1" si="3"/>
        <v>Open</v>
      </c>
      <c r="C203" s="1" t="s">
        <v>2770</v>
      </c>
      <c r="D203" s="1" t="s">
        <v>795</v>
      </c>
      <c r="E203" s="1" t="s">
        <v>796</v>
      </c>
      <c r="F203" s="1" t="s">
        <v>48</v>
      </c>
      <c r="G203" s="1" t="s">
        <v>797</v>
      </c>
      <c r="H203" s="24">
        <v>44648</v>
      </c>
      <c r="I203" s="1"/>
      <c r="J203" s="1">
        <v>47.923667000000002</v>
      </c>
      <c r="K203" s="1">
        <v>106.978767</v>
      </c>
      <c r="L203" s="20">
        <v>0.29166666666666669</v>
      </c>
      <c r="M203" s="20">
        <v>0.99930555555555556</v>
      </c>
      <c r="N203" s="1">
        <v>0.51810011919133891</v>
      </c>
      <c r="O203" s="1">
        <v>85.738030560303898</v>
      </c>
      <c r="P203" s="1">
        <v>2.8131833199225813</v>
      </c>
      <c r="Q203" s="1">
        <v>66.705102508960593</v>
      </c>
      <c r="R203" s="1">
        <v>0.56530044915147204</v>
      </c>
      <c r="S203" s="1">
        <v>72.404053181386516</v>
      </c>
      <c r="T203" s="1">
        <v>1.9767253418996409</v>
      </c>
      <c r="U203" s="1">
        <v>56.584878494623645</v>
      </c>
      <c r="V203" s="1">
        <v>0.67807941243971515</v>
      </c>
      <c r="W203" s="1">
        <v>101.81496267806268</v>
      </c>
      <c r="X203" s="1">
        <v>2.1988549616666666</v>
      </c>
      <c r="Y203" s="1">
        <v>66.357453405017935</v>
      </c>
      <c r="Z203" s="1">
        <v>0.47485025932561725</v>
      </c>
      <c r="AA203" s="1">
        <v>90.217611111111083</v>
      </c>
      <c r="AB203" s="1">
        <v>1.5896102783122117</v>
      </c>
      <c r="AC203" s="1">
        <v>44.298113671274962</v>
      </c>
    </row>
    <row r="204" spans="1:29" x14ac:dyDescent="0.2">
      <c r="A204" s="1" t="s">
        <v>798</v>
      </c>
      <c r="B204" s="1" t="str">
        <f t="shared" ca="1" si="3"/>
        <v>Open</v>
      </c>
      <c r="C204" s="1" t="s">
        <v>2770</v>
      </c>
      <c r="D204" s="1" t="s">
        <v>799</v>
      </c>
      <c r="E204" s="1" t="s">
        <v>800</v>
      </c>
      <c r="F204" s="1" t="s">
        <v>11</v>
      </c>
      <c r="G204" s="1" t="s">
        <v>801</v>
      </c>
      <c r="H204" s="24">
        <v>44665</v>
      </c>
      <c r="I204" s="1"/>
      <c r="J204" s="1">
        <v>47.914383000000001</v>
      </c>
      <c r="K204" s="1">
        <v>106.895056</v>
      </c>
      <c r="L204" s="20">
        <v>0.29166666666666669</v>
      </c>
      <c r="M204" s="20">
        <v>0.99930555555555556</v>
      </c>
      <c r="N204" s="1">
        <v>0.53002618637825261</v>
      </c>
      <c r="O204" s="1">
        <v>81.425993162393169</v>
      </c>
      <c r="P204" s="1">
        <v>0.48240605640887391</v>
      </c>
      <c r="Q204" s="1">
        <v>34.41893512544803</v>
      </c>
      <c r="R204" s="1">
        <v>0.4750245610346629</v>
      </c>
      <c r="S204" s="1">
        <v>68.514550332383664</v>
      </c>
      <c r="T204" s="1">
        <v>0.48593384682795709</v>
      </c>
      <c r="U204" s="1">
        <v>32.989227598566309</v>
      </c>
      <c r="V204" s="1">
        <v>0.51801376288562195</v>
      </c>
      <c r="W204" s="1">
        <v>69.565464501424501</v>
      </c>
      <c r="X204" s="1">
        <v>0.57802382115232975</v>
      </c>
      <c r="Y204" s="1">
        <v>32.666971684587821</v>
      </c>
      <c r="Z204" s="1">
        <v>0.34383719289157272</v>
      </c>
      <c r="AA204" s="1">
        <v>56.011714439076748</v>
      </c>
      <c r="AB204" s="1">
        <v>0.42414428867050691</v>
      </c>
      <c r="AC204" s="1">
        <v>28.548221198156682</v>
      </c>
    </row>
    <row r="205" spans="1:29" x14ac:dyDescent="0.2">
      <c r="A205" s="1" t="s">
        <v>802</v>
      </c>
      <c r="B205" s="1" t="str">
        <f t="shared" ca="1" si="3"/>
        <v>Closed</v>
      </c>
      <c r="C205" s="1" t="s">
        <v>2770</v>
      </c>
      <c r="D205" s="1" t="s">
        <v>803</v>
      </c>
      <c r="E205" s="1" t="s">
        <v>804</v>
      </c>
      <c r="F205" s="1" t="s">
        <v>33</v>
      </c>
      <c r="G205" s="1" t="s">
        <v>805</v>
      </c>
      <c r="H205" s="24">
        <v>44646</v>
      </c>
      <c r="I205" s="24">
        <v>45888</v>
      </c>
      <c r="J205" s="1">
        <v>47.918632000000002</v>
      </c>
      <c r="K205" s="1">
        <v>106.91132</v>
      </c>
      <c r="L205" s="20">
        <v>0.29166666666666669</v>
      </c>
      <c r="M205" s="20">
        <v>0.99930555555555556</v>
      </c>
      <c r="N205" s="1">
        <v>0.73639092957822683</v>
      </c>
      <c r="O205" s="1">
        <v>120.83034189340572</v>
      </c>
      <c r="P205" s="1">
        <v>1.0305683280225519</v>
      </c>
      <c r="Q205" s="1">
        <v>50.741335744455974</v>
      </c>
      <c r="R205" s="1">
        <v>0.66061696484551169</v>
      </c>
      <c r="S205" s="1">
        <v>99.625056815173693</v>
      </c>
      <c r="T205" s="1">
        <v>0.73070169144884056</v>
      </c>
      <c r="U205" s="1">
        <v>43.149098829307455</v>
      </c>
      <c r="V205" s="1">
        <v>0.45657565676024697</v>
      </c>
      <c r="W205" s="1">
        <v>72.971014814814808</v>
      </c>
      <c r="X205" s="1">
        <v>0.7111916706234872</v>
      </c>
      <c r="Y205" s="1">
        <v>32.280558127767243</v>
      </c>
      <c r="Z205" s="1">
        <v>0.61668712407906823</v>
      </c>
      <c r="AA205" s="1">
        <v>111.42882484304808</v>
      </c>
      <c r="AB205" s="1">
        <v>0.75426453629546997</v>
      </c>
      <c r="AC205" s="1">
        <v>41.5584292989384</v>
      </c>
    </row>
    <row r="206" spans="1:29" x14ac:dyDescent="0.2">
      <c r="A206" s="1" t="s">
        <v>806</v>
      </c>
      <c r="B206" s="1" t="str">
        <f t="shared" ca="1" si="3"/>
        <v>Open</v>
      </c>
      <c r="C206" s="1" t="s">
        <v>2770</v>
      </c>
      <c r="D206" s="1" t="s">
        <v>807</v>
      </c>
      <c r="E206" s="1" t="s">
        <v>808</v>
      </c>
      <c r="F206" s="1" t="s">
        <v>64</v>
      </c>
      <c r="G206" s="1" t="s">
        <v>809</v>
      </c>
      <c r="H206" s="24">
        <v>44665</v>
      </c>
      <c r="I206" s="1"/>
      <c r="J206" s="1">
        <v>47.899146999999999</v>
      </c>
      <c r="K206" s="1">
        <v>106.898724</v>
      </c>
      <c r="L206" s="20">
        <v>0</v>
      </c>
      <c r="M206" s="20">
        <v>0.99930555555555556</v>
      </c>
      <c r="N206" s="1">
        <v>0.76878374786353276</v>
      </c>
      <c r="O206" s="1">
        <v>125.21892241215578</v>
      </c>
      <c r="P206" s="1">
        <v>0.66725894481146941</v>
      </c>
      <c r="Q206" s="1">
        <v>54.651189605734764</v>
      </c>
      <c r="R206" s="1">
        <v>0.74669176473076926</v>
      </c>
      <c r="S206" s="1">
        <v>118.81993922127258</v>
      </c>
      <c r="T206" s="1">
        <v>0.70969402996415765</v>
      </c>
      <c r="U206" s="1">
        <v>54.155867025089613</v>
      </c>
      <c r="V206" s="1">
        <v>0.74723617883635318</v>
      </c>
      <c r="W206" s="1">
        <v>133.57774123456787</v>
      </c>
      <c r="X206" s="1">
        <v>0.70258426717204292</v>
      </c>
      <c r="Y206" s="1">
        <v>50.19245519713261</v>
      </c>
      <c r="Z206" s="1">
        <v>0.60480143911808903</v>
      </c>
      <c r="AA206" s="1">
        <v>110.63600858829847</v>
      </c>
      <c r="AB206" s="1">
        <v>0.62301713069693354</v>
      </c>
      <c r="AC206" s="1">
        <v>51.841412186379905</v>
      </c>
    </row>
    <row r="207" spans="1:29" x14ac:dyDescent="0.2">
      <c r="A207" s="1" t="s">
        <v>810</v>
      </c>
      <c r="B207" s="1" t="str">
        <f t="shared" ca="1" si="3"/>
        <v>Open</v>
      </c>
      <c r="C207" s="1" t="s">
        <v>2770</v>
      </c>
      <c r="D207" s="1" t="s">
        <v>811</v>
      </c>
      <c r="E207" s="1" t="s">
        <v>812</v>
      </c>
      <c r="F207" s="1" t="s">
        <v>28</v>
      </c>
      <c r="G207" s="1" t="s">
        <v>813</v>
      </c>
      <c r="H207" s="24">
        <v>44660</v>
      </c>
      <c r="I207" s="1"/>
      <c r="J207" s="1">
        <v>47.913817999999999</v>
      </c>
      <c r="K207" s="1">
        <v>106.86114000000001</v>
      </c>
      <c r="L207" s="20">
        <v>0</v>
      </c>
      <c r="M207" s="20">
        <v>0.99930555555555556</v>
      </c>
      <c r="N207" s="1">
        <v>0.78900087394993346</v>
      </c>
      <c r="O207" s="1">
        <v>125.30144199430201</v>
      </c>
      <c r="P207" s="1">
        <v>0.72672693663620092</v>
      </c>
      <c r="Q207" s="1">
        <v>48.265325806451614</v>
      </c>
      <c r="R207" s="1">
        <v>0.70458528089648631</v>
      </c>
      <c r="S207" s="1">
        <v>103.56497958214624</v>
      </c>
      <c r="T207" s="1">
        <v>0.70846828150250907</v>
      </c>
      <c r="U207" s="1">
        <v>47.114946594982065</v>
      </c>
      <c r="V207" s="1">
        <v>0.83099401412843299</v>
      </c>
      <c r="W207" s="1">
        <v>132.95926843304844</v>
      </c>
      <c r="X207" s="1">
        <v>0.65400359890573467</v>
      </c>
      <c r="Y207" s="1">
        <v>43.489748745519705</v>
      </c>
      <c r="Z207" s="1">
        <v>0.49402999816586152</v>
      </c>
      <c r="AA207" s="1">
        <v>90.40203113258184</v>
      </c>
      <c r="AB207" s="1">
        <v>0.54412985945698922</v>
      </c>
      <c r="AC207" s="1">
        <v>34.020270737327188</v>
      </c>
    </row>
    <row r="208" spans="1:29" x14ac:dyDescent="0.2">
      <c r="A208" s="1" t="s">
        <v>814</v>
      </c>
      <c r="B208" s="1" t="str">
        <f t="shared" ca="1" si="3"/>
        <v>Open</v>
      </c>
      <c r="C208" s="1" t="s">
        <v>2770</v>
      </c>
      <c r="D208" s="1" t="s">
        <v>815</v>
      </c>
      <c r="E208" s="1" t="s">
        <v>816</v>
      </c>
      <c r="F208" s="1" t="s">
        <v>11</v>
      </c>
      <c r="G208" s="1" t="s">
        <v>817</v>
      </c>
      <c r="H208" s="24">
        <v>44665</v>
      </c>
      <c r="I208" s="1"/>
      <c r="J208" s="1">
        <v>47.915332999999997</v>
      </c>
      <c r="K208" s="1">
        <v>106.89774</v>
      </c>
      <c r="L208" s="20">
        <v>0.29166666666666669</v>
      </c>
      <c r="M208" s="20">
        <v>0.99930555555555556</v>
      </c>
      <c r="N208" s="1">
        <v>0.51364978488541302</v>
      </c>
      <c r="O208" s="1">
        <v>95.713380531813868</v>
      </c>
      <c r="P208" s="1">
        <v>0.97380526387096766</v>
      </c>
      <c r="Q208" s="1">
        <v>41.250307526881706</v>
      </c>
      <c r="R208" s="1">
        <v>0.50504411965906948</v>
      </c>
      <c r="S208" s="1">
        <v>84.587191832858494</v>
      </c>
      <c r="T208" s="1">
        <v>0.68845576474623649</v>
      </c>
      <c r="U208" s="1">
        <v>41.084130465949819</v>
      </c>
      <c r="V208" s="1">
        <v>0.51915825930079762</v>
      </c>
      <c r="W208" s="1">
        <v>90.74237335232668</v>
      </c>
      <c r="X208" s="1">
        <v>0.66949007808530459</v>
      </c>
      <c r="Y208" s="1">
        <v>34.560006093189955</v>
      </c>
      <c r="Z208" s="1">
        <v>0.37543501554213637</v>
      </c>
      <c r="AA208" s="1">
        <v>68.371164787976383</v>
      </c>
      <c r="AB208" s="1">
        <v>0.63182361325806435</v>
      </c>
      <c r="AC208" s="1">
        <v>32.0000410906298</v>
      </c>
    </row>
    <row r="209" spans="1:29" x14ac:dyDescent="0.2">
      <c r="A209" s="1" t="s">
        <v>818</v>
      </c>
      <c r="B209" s="1" t="str">
        <f t="shared" ca="1" si="3"/>
        <v>Open</v>
      </c>
      <c r="C209" s="1" t="s">
        <v>2770</v>
      </c>
      <c r="D209" s="1" t="s">
        <v>819</v>
      </c>
      <c r="E209" s="1" t="s">
        <v>820</v>
      </c>
      <c r="F209" s="1" t="s">
        <v>28</v>
      </c>
      <c r="G209" s="1" t="s">
        <v>821</v>
      </c>
      <c r="H209" s="24">
        <v>44665</v>
      </c>
      <c r="I209" s="1"/>
      <c r="J209" s="1">
        <v>47.910696999999999</v>
      </c>
      <c r="K209" s="1">
        <v>106.883511</v>
      </c>
      <c r="L209" s="20">
        <v>0</v>
      </c>
      <c r="M209" s="20">
        <v>0.99930555555555556</v>
      </c>
      <c r="N209" s="1">
        <v>1.1994252013507314</v>
      </c>
      <c r="O209" s="1">
        <v>219.0265348338082</v>
      </c>
      <c r="P209" s="1">
        <v>1.5109991667637992</v>
      </c>
      <c r="Q209" s="1">
        <v>68.353482795698923</v>
      </c>
      <c r="R209" s="1">
        <v>1.2358970721557456</v>
      </c>
      <c r="S209" s="1">
        <v>205.30166096866097</v>
      </c>
      <c r="T209" s="1">
        <v>1.4890660262189968</v>
      </c>
      <c r="U209" s="1">
        <v>70.208582078853055</v>
      </c>
      <c r="V209" s="1">
        <v>1.5687537252435704</v>
      </c>
      <c r="W209" s="1">
        <v>243.33283447293456</v>
      </c>
      <c r="X209" s="1">
        <v>1.4667794893508959</v>
      </c>
      <c r="Y209" s="1">
        <v>70.560544444444446</v>
      </c>
      <c r="Z209" s="1">
        <v>1.0493477120665593</v>
      </c>
      <c r="AA209" s="1">
        <v>209.54676543209879</v>
      </c>
      <c r="AB209" s="1">
        <v>1.1816145724324114</v>
      </c>
      <c r="AC209" s="1">
        <v>67.177147465437798</v>
      </c>
    </row>
    <row r="210" spans="1:29" x14ac:dyDescent="0.2">
      <c r="A210" s="1" t="s">
        <v>822</v>
      </c>
      <c r="B210" s="1" t="str">
        <f t="shared" ca="1" si="3"/>
        <v>Open</v>
      </c>
      <c r="C210" s="1" t="s">
        <v>2770</v>
      </c>
      <c r="D210" s="1" t="s">
        <v>823</v>
      </c>
      <c r="E210" s="1" t="s">
        <v>824</v>
      </c>
      <c r="F210" s="1" t="s">
        <v>28</v>
      </c>
      <c r="G210" s="1" t="s">
        <v>825</v>
      </c>
      <c r="H210" s="24">
        <v>44665</v>
      </c>
      <c r="I210" s="1"/>
      <c r="J210" s="1">
        <v>47.918672999999998</v>
      </c>
      <c r="K210" s="1">
        <v>106.866017</v>
      </c>
      <c r="L210" s="20">
        <v>0</v>
      </c>
      <c r="M210" s="20">
        <v>0.99930555555555556</v>
      </c>
      <c r="N210" s="1">
        <v>0.82670752841749284</v>
      </c>
      <c r="O210" s="1">
        <v>147.13668207027541</v>
      </c>
      <c r="P210" s="1">
        <v>1.3155525054720425</v>
      </c>
      <c r="Q210" s="1">
        <v>72.10964767025088</v>
      </c>
      <c r="R210" s="1">
        <v>0.91852039734140545</v>
      </c>
      <c r="S210" s="1">
        <v>136.96791215574549</v>
      </c>
      <c r="T210" s="1">
        <v>1.1672890694942653</v>
      </c>
      <c r="U210" s="1">
        <v>63.030338351254478</v>
      </c>
      <c r="V210" s="1">
        <v>1.0004928551665524</v>
      </c>
      <c r="W210" s="1">
        <v>155.00226845204182</v>
      </c>
      <c r="X210" s="1">
        <v>1.2765782326329749</v>
      </c>
      <c r="Y210" s="1">
        <v>58.455637992831534</v>
      </c>
      <c r="Z210" s="1">
        <v>0.79013581780783682</v>
      </c>
      <c r="AA210" s="1">
        <v>150.0355974235105</v>
      </c>
      <c r="AB210" s="1">
        <v>0.92335935465975416</v>
      </c>
      <c r="AC210" s="1">
        <v>52.232746159754221</v>
      </c>
    </row>
    <row r="211" spans="1:29" x14ac:dyDescent="0.2">
      <c r="A211" s="1" t="s">
        <v>826</v>
      </c>
      <c r="B211" s="1" t="str">
        <f t="shared" ca="1" si="3"/>
        <v>Open</v>
      </c>
      <c r="C211" s="1" t="s">
        <v>2770</v>
      </c>
      <c r="D211" s="1" t="s">
        <v>827</v>
      </c>
      <c r="E211" s="1" t="s">
        <v>828</v>
      </c>
      <c r="F211" s="1" t="s">
        <v>64</v>
      </c>
      <c r="G211" s="1" t="s">
        <v>829</v>
      </c>
      <c r="H211" s="24">
        <v>44665</v>
      </c>
      <c r="I211" s="1"/>
      <c r="J211" s="1">
        <v>47.903193000000002</v>
      </c>
      <c r="K211" s="1">
        <v>106.925196</v>
      </c>
      <c r="L211" s="20">
        <v>0.29166666666666669</v>
      </c>
      <c r="M211" s="20">
        <v>0.99930555555555556</v>
      </c>
      <c r="N211" s="1">
        <v>0.70741124202833794</v>
      </c>
      <c r="O211" s="1">
        <v>129.65810733143402</v>
      </c>
      <c r="P211" s="1">
        <v>2.4604027561594979</v>
      </c>
      <c r="Q211" s="1">
        <v>79.022290681003582</v>
      </c>
      <c r="R211" s="1">
        <v>0.73391079761633449</v>
      </c>
      <c r="S211" s="1">
        <v>107.29939838556506</v>
      </c>
      <c r="T211" s="1">
        <v>2.1358760955179208</v>
      </c>
      <c r="U211" s="1">
        <v>69.925438709677437</v>
      </c>
      <c r="V211" s="1">
        <v>0.83553728348381773</v>
      </c>
      <c r="W211" s="1">
        <v>136.12187373219376</v>
      </c>
      <c r="X211" s="1">
        <v>2.0800305306157703</v>
      </c>
      <c r="Y211" s="1">
        <v>81.363908602150545</v>
      </c>
      <c r="Z211" s="1">
        <v>0.49855380354106288</v>
      </c>
      <c r="AA211" s="1">
        <v>109.44378636607621</v>
      </c>
      <c r="AB211" s="1">
        <v>1.6775407141835641</v>
      </c>
      <c r="AC211" s="1">
        <v>55.304450076804919</v>
      </c>
    </row>
    <row r="212" spans="1:29" x14ac:dyDescent="0.2">
      <c r="A212" s="1" t="s">
        <v>830</v>
      </c>
      <c r="B212" s="1" t="str">
        <f t="shared" ca="1" si="3"/>
        <v>Open</v>
      </c>
      <c r="C212" s="1" t="s">
        <v>2770</v>
      </c>
      <c r="D212" s="1" t="s">
        <v>831</v>
      </c>
      <c r="E212" s="1" t="s">
        <v>832</v>
      </c>
      <c r="F212" s="1" t="s">
        <v>11</v>
      </c>
      <c r="G212" s="1" t="s">
        <v>833</v>
      </c>
      <c r="H212" s="24">
        <v>44665</v>
      </c>
      <c r="I212" s="1"/>
      <c r="J212" s="1">
        <v>47.930186999999997</v>
      </c>
      <c r="K212" s="1">
        <v>106.92868799999999</v>
      </c>
      <c r="L212" s="20">
        <v>0.29166666666666669</v>
      </c>
      <c r="M212" s="20">
        <v>0.99930555555555556</v>
      </c>
      <c r="N212" s="1">
        <v>0.81608449822564111</v>
      </c>
      <c r="O212" s="1">
        <v>140.7166117948718</v>
      </c>
      <c r="P212" s="1">
        <v>1.2017067674440864</v>
      </c>
      <c r="Q212" s="1">
        <v>82.971989605734748</v>
      </c>
      <c r="R212" s="1">
        <v>0.90255236733713196</v>
      </c>
      <c r="S212" s="1">
        <v>138.68725878442547</v>
      </c>
      <c r="T212" s="1">
        <v>1.3150287855584231</v>
      </c>
      <c r="U212" s="1">
        <v>83.909318637992826</v>
      </c>
      <c r="V212" s="1">
        <v>0.78706708438127249</v>
      </c>
      <c r="W212" s="1">
        <v>113.79504571699904</v>
      </c>
      <c r="X212" s="1">
        <v>0.95152440954516126</v>
      </c>
      <c r="Y212" s="1">
        <v>64.243311469534049</v>
      </c>
      <c r="Z212" s="1">
        <v>0.66499935010648148</v>
      </c>
      <c r="AA212" s="1">
        <v>126.98738580246912</v>
      </c>
      <c r="AB212" s="1">
        <v>0.97033798271543781</v>
      </c>
      <c r="AC212" s="1">
        <v>68.917217741935488</v>
      </c>
    </row>
    <row r="213" spans="1:29" x14ac:dyDescent="0.2">
      <c r="A213" s="1" t="s">
        <v>834</v>
      </c>
      <c r="B213" s="1" t="str">
        <f t="shared" ca="1" si="3"/>
        <v>Closed</v>
      </c>
      <c r="C213" s="1" t="s">
        <v>2770</v>
      </c>
      <c r="D213" s="1" t="s">
        <v>835</v>
      </c>
      <c r="E213" s="1" t="s">
        <v>836</v>
      </c>
      <c r="F213" s="1" t="s">
        <v>11</v>
      </c>
      <c r="G213" s="1" t="s">
        <v>837</v>
      </c>
      <c r="H213" s="24">
        <v>44665</v>
      </c>
      <c r="I213" s="24">
        <v>45942</v>
      </c>
      <c r="J213" s="1">
        <v>47.909697000000001</v>
      </c>
      <c r="K213" s="1">
        <v>106.923846</v>
      </c>
      <c r="L213" s="20">
        <v>0.33333333333333331</v>
      </c>
      <c r="M213" s="20">
        <v>0.95833333333333337</v>
      </c>
      <c r="N213" s="1">
        <v>0.67089076387680535</v>
      </c>
      <c r="O213" s="1">
        <v>105.0068261947341</v>
      </c>
      <c r="P213" s="1">
        <v>0.64164941524633912</v>
      </c>
      <c r="Q213" s="1">
        <v>49.425862625039791</v>
      </c>
      <c r="R213" s="1">
        <v>1.6567299269760909</v>
      </c>
      <c r="S213" s="1">
        <v>199.0746330259999</v>
      </c>
      <c r="T213" s="1">
        <v>1.3396740921659422</v>
      </c>
      <c r="U213" s="1">
        <v>95.459245782712472</v>
      </c>
      <c r="V213" s="1">
        <v>1.9951034396701228</v>
      </c>
      <c r="W213" s="1">
        <v>304.64258567901237</v>
      </c>
      <c r="X213" s="1">
        <v>1.9033919987573473</v>
      </c>
      <c r="Y213" s="1">
        <v>128.58281541218642</v>
      </c>
      <c r="Z213" s="1">
        <v>0.61668712407906823</v>
      </c>
      <c r="AA213" s="1">
        <v>111.42882484304808</v>
      </c>
      <c r="AB213" s="1">
        <v>0.75426453629546997</v>
      </c>
      <c r="AC213" s="1">
        <v>41.5584292989384</v>
      </c>
    </row>
    <row r="214" spans="1:29" x14ac:dyDescent="0.2">
      <c r="A214" s="1" t="s">
        <v>838</v>
      </c>
      <c r="B214" s="1" t="str">
        <f t="shared" ca="1" si="3"/>
        <v>Open</v>
      </c>
      <c r="C214" s="1" t="s">
        <v>2770</v>
      </c>
      <c r="D214" s="1" t="s">
        <v>839</v>
      </c>
      <c r="E214" s="1" t="s">
        <v>840</v>
      </c>
      <c r="F214" s="1" t="s">
        <v>841</v>
      </c>
      <c r="G214" s="1" t="s">
        <v>842</v>
      </c>
      <c r="H214" s="24">
        <v>44712</v>
      </c>
      <c r="I214" s="1"/>
      <c r="J214" s="1">
        <v>47.775894000000001</v>
      </c>
      <c r="K214" s="1">
        <v>107.25374600000001</v>
      </c>
      <c r="L214" s="20">
        <v>0</v>
      </c>
      <c r="M214" s="20">
        <v>0.99930555555555556</v>
      </c>
      <c r="N214" s="1">
        <v>0.79619570029356135</v>
      </c>
      <c r="O214" s="1">
        <v>135.39127661918329</v>
      </c>
      <c r="P214" s="1">
        <v>1.2478458981053764</v>
      </c>
      <c r="Q214" s="1">
        <v>57.503032258064515</v>
      </c>
      <c r="R214" s="1">
        <v>0.89348830241452981</v>
      </c>
      <c r="S214" s="1">
        <v>114.29439886039887</v>
      </c>
      <c r="T214" s="1">
        <v>1.050723466128674</v>
      </c>
      <c r="U214" s="1">
        <v>54.046616129032252</v>
      </c>
      <c r="V214" s="1">
        <v>1.0620736027593733</v>
      </c>
      <c r="W214" s="1">
        <v>144.95635853751185</v>
      </c>
      <c r="X214" s="1">
        <v>1.3238140461279564</v>
      </c>
      <c r="Y214" s="1">
        <v>64.108102867383522</v>
      </c>
      <c r="Z214" s="1">
        <v>0.76983826753140094</v>
      </c>
      <c r="AA214" s="1">
        <v>159.55384755770262</v>
      </c>
      <c r="AB214" s="1">
        <v>0.83794675213364067</v>
      </c>
      <c r="AC214" s="1">
        <v>46.245649769585242</v>
      </c>
    </row>
    <row r="215" spans="1:29" x14ac:dyDescent="0.2">
      <c r="A215" s="1" t="s">
        <v>843</v>
      </c>
      <c r="B215" s="1" t="str">
        <f t="shared" ca="1" si="3"/>
        <v>Open</v>
      </c>
      <c r="C215" s="1" t="s">
        <v>2770</v>
      </c>
      <c r="D215" s="1" t="s">
        <v>844</v>
      </c>
      <c r="E215" s="1" t="s">
        <v>845</v>
      </c>
      <c r="F215" s="1" t="s">
        <v>28</v>
      </c>
      <c r="G215" s="1" t="s">
        <v>846</v>
      </c>
      <c r="H215" s="24">
        <v>44691</v>
      </c>
      <c r="I215" s="1"/>
      <c r="J215" s="1">
        <v>47.912010000000002</v>
      </c>
      <c r="K215" s="1">
        <v>106.890728</v>
      </c>
      <c r="L215" s="20">
        <v>0</v>
      </c>
      <c r="M215" s="20">
        <v>0.99930555555555556</v>
      </c>
      <c r="N215" s="1">
        <v>0.73168456563382722</v>
      </c>
      <c r="O215" s="1">
        <v>133.28218138651471</v>
      </c>
      <c r="P215" s="1">
        <v>1.0239585034283152</v>
      </c>
      <c r="Q215" s="1">
        <v>55.387163799283144</v>
      </c>
      <c r="R215" s="1">
        <v>0.73785386672269704</v>
      </c>
      <c r="S215" s="1">
        <v>117.48372079772078</v>
      </c>
      <c r="T215" s="1">
        <v>0.77271453989999994</v>
      </c>
      <c r="U215" s="1">
        <v>46.248406451612908</v>
      </c>
      <c r="V215" s="1">
        <v>0.78325604768355184</v>
      </c>
      <c r="W215" s="1">
        <v>123.58889052231719</v>
      </c>
      <c r="X215" s="1">
        <v>0.69830973320788525</v>
      </c>
      <c r="Y215" s="1">
        <v>43.190560573476688</v>
      </c>
      <c r="Z215" s="1">
        <v>0.59939094071551258</v>
      </c>
      <c r="AA215" s="1">
        <v>114.15577616747184</v>
      </c>
      <c r="AB215" s="1">
        <v>0.60186885160483861</v>
      </c>
      <c r="AC215" s="1">
        <v>40.283279569892478</v>
      </c>
    </row>
    <row r="216" spans="1:29" x14ac:dyDescent="0.2">
      <c r="A216" s="1" t="s">
        <v>847</v>
      </c>
      <c r="B216" s="1" t="str">
        <f t="shared" ca="1" si="3"/>
        <v>Closed</v>
      </c>
      <c r="C216" s="1" t="s">
        <v>2770</v>
      </c>
      <c r="D216" s="1" t="s">
        <v>848</v>
      </c>
      <c r="E216" s="1" t="s">
        <v>849</v>
      </c>
      <c r="F216" s="1" t="s">
        <v>33</v>
      </c>
      <c r="G216" s="1" t="s">
        <v>850</v>
      </c>
      <c r="H216" s="24">
        <v>44705</v>
      </c>
      <c r="I216" s="24">
        <v>45820</v>
      </c>
      <c r="J216" s="1">
        <v>47.922272</v>
      </c>
      <c r="K216" s="1">
        <v>106.912938</v>
      </c>
      <c r="L216" s="20">
        <v>0.29166666666666669</v>
      </c>
      <c r="M216" s="20">
        <v>0.99930555555555556</v>
      </c>
      <c r="N216" s="1">
        <v>0.73639092957822683</v>
      </c>
      <c r="O216" s="1">
        <v>120.83034189340572</v>
      </c>
      <c r="P216" s="1">
        <v>1.0305683280225519</v>
      </c>
      <c r="Q216" s="1">
        <v>50.741335744455974</v>
      </c>
      <c r="R216" s="1">
        <v>0.46609947202927238</v>
      </c>
      <c r="S216" s="1">
        <v>74.184162228279092</v>
      </c>
      <c r="T216" s="1">
        <v>0.61989308666138532</v>
      </c>
      <c r="U216" s="1">
        <v>33.074051875902434</v>
      </c>
      <c r="V216" s="1">
        <v>0.70901452393871744</v>
      </c>
      <c r="W216" s="1">
        <v>102.54843333214325</v>
      </c>
      <c r="X216" s="1">
        <v>0.8288356532983302</v>
      </c>
      <c r="Y216" s="1">
        <v>44.572811513105528</v>
      </c>
      <c r="Z216" s="1">
        <v>0.61668712407906823</v>
      </c>
      <c r="AA216" s="1">
        <v>111.42882484304808</v>
      </c>
      <c r="AB216" s="1">
        <v>0.75426453629546997</v>
      </c>
      <c r="AC216" s="1">
        <v>41.5584292989384</v>
      </c>
    </row>
    <row r="217" spans="1:29" x14ac:dyDescent="0.2">
      <c r="A217" s="1" t="s">
        <v>851</v>
      </c>
      <c r="B217" s="1" t="str">
        <f t="shared" ca="1" si="3"/>
        <v>Open</v>
      </c>
      <c r="C217" s="1" t="s">
        <v>2770</v>
      </c>
      <c r="D217" s="1" t="s">
        <v>852</v>
      </c>
      <c r="E217" s="1" t="s">
        <v>853</v>
      </c>
      <c r="F217" s="1" t="s">
        <v>28</v>
      </c>
      <c r="G217" s="1" t="s">
        <v>854</v>
      </c>
      <c r="H217" s="24">
        <v>44695</v>
      </c>
      <c r="I217" s="1"/>
      <c r="J217" s="1">
        <v>47.925274999999999</v>
      </c>
      <c r="K217" s="1">
        <v>106.88841600000001</v>
      </c>
      <c r="L217" s="20">
        <v>0</v>
      </c>
      <c r="M217" s="20">
        <v>0.99930555555555556</v>
      </c>
      <c r="N217" s="1">
        <v>0.81721741841703699</v>
      </c>
      <c r="O217" s="1">
        <v>119.2104235897436</v>
      </c>
      <c r="P217" s="1">
        <v>0.80604771166272382</v>
      </c>
      <c r="Q217" s="1">
        <v>63.136608243727601</v>
      </c>
      <c r="R217" s="1">
        <v>0.87373659918376079</v>
      </c>
      <c r="S217" s="1">
        <v>121.57599667616337</v>
      </c>
      <c r="T217" s="1">
        <v>0.83479473314802899</v>
      </c>
      <c r="U217" s="1">
        <v>65.21091326164877</v>
      </c>
      <c r="V217" s="1">
        <v>0.97811632508974344</v>
      </c>
      <c r="W217" s="1">
        <v>124.57525692307691</v>
      </c>
      <c r="X217" s="1">
        <v>0.8782805764577063</v>
      </c>
      <c r="Y217" s="1">
        <v>66.623774910394289</v>
      </c>
      <c r="Z217" s="1">
        <v>0.65371096672663132</v>
      </c>
      <c r="AA217" s="1">
        <v>119.46618518518517</v>
      </c>
      <c r="AB217" s="1">
        <v>0.59910107508141308</v>
      </c>
      <c r="AC217" s="1">
        <v>52.497913594470049</v>
      </c>
    </row>
    <row r="218" spans="1:29" x14ac:dyDescent="0.2">
      <c r="A218" s="1" t="s">
        <v>855</v>
      </c>
      <c r="B218" s="1" t="str">
        <f t="shared" ca="1" si="3"/>
        <v>Open</v>
      </c>
      <c r="C218" s="1" t="s">
        <v>2770</v>
      </c>
      <c r="D218" s="1" t="s">
        <v>856</v>
      </c>
      <c r="E218" s="1" t="s">
        <v>857</v>
      </c>
      <c r="F218" s="1" t="s">
        <v>11</v>
      </c>
      <c r="G218" s="1" t="s">
        <v>858</v>
      </c>
      <c r="H218" s="24">
        <v>44707</v>
      </c>
      <c r="I218" s="1"/>
      <c r="J218" s="1">
        <v>47.932341000000001</v>
      </c>
      <c r="K218" s="1">
        <v>106.913515</v>
      </c>
      <c r="L218" s="20">
        <v>0</v>
      </c>
      <c r="M218" s="20">
        <v>0.99930555555555556</v>
      </c>
      <c r="N218" s="1">
        <v>0.94457631905226969</v>
      </c>
      <c r="O218" s="1">
        <v>145.38300315289646</v>
      </c>
      <c r="P218" s="1">
        <v>1.8296558002849463</v>
      </c>
      <c r="Q218" s="1">
        <v>91.236312186379905</v>
      </c>
      <c r="R218" s="1">
        <v>0.8925791181073125</v>
      </c>
      <c r="S218" s="1">
        <v>118.49670227920228</v>
      </c>
      <c r="T218" s="1">
        <v>1.460491730900717</v>
      </c>
      <c r="U218" s="1">
        <v>75.662718996415776</v>
      </c>
      <c r="V218" s="1">
        <v>0.94292632840018975</v>
      </c>
      <c r="W218" s="1">
        <v>123.76230150047483</v>
      </c>
      <c r="X218" s="1">
        <v>1.7068124896322576</v>
      </c>
      <c r="Y218" s="1">
        <v>80.183225089605756</v>
      </c>
      <c r="Z218" s="1">
        <v>0.87848967470799766</v>
      </c>
      <c r="AA218" s="1">
        <v>146.18005743424587</v>
      </c>
      <c r="AB218" s="1">
        <v>1.2564587103229647</v>
      </c>
      <c r="AC218" s="1">
        <v>76.310846774193536</v>
      </c>
    </row>
    <row r="219" spans="1:29" x14ac:dyDescent="0.2">
      <c r="A219" s="1" t="s">
        <v>859</v>
      </c>
      <c r="B219" s="1" t="str">
        <f t="shared" ca="1" si="3"/>
        <v>Open</v>
      </c>
      <c r="C219" s="1" t="s">
        <v>2770</v>
      </c>
      <c r="D219" s="1" t="s">
        <v>860</v>
      </c>
      <c r="E219" s="1" t="s">
        <v>861</v>
      </c>
      <c r="F219" s="1" t="s">
        <v>145</v>
      </c>
      <c r="G219" s="1" t="s">
        <v>862</v>
      </c>
      <c r="H219" s="24">
        <v>44705</v>
      </c>
      <c r="I219" s="1"/>
      <c r="J219" s="1">
        <v>47.911754000000002</v>
      </c>
      <c r="K219" s="1">
        <v>106.834397</v>
      </c>
      <c r="L219" s="20">
        <v>0</v>
      </c>
      <c r="M219" s="20">
        <v>0.99930555555555556</v>
      </c>
      <c r="N219" s="1">
        <v>0.67451939927097815</v>
      </c>
      <c r="O219" s="1">
        <v>118.9268148528015</v>
      </c>
      <c r="P219" s="1">
        <v>1.0644761226315411</v>
      </c>
      <c r="Q219" s="1">
        <v>51.151729032258068</v>
      </c>
      <c r="R219" s="1">
        <v>0.69561061057739781</v>
      </c>
      <c r="S219" s="1">
        <v>99.482125830959163</v>
      </c>
      <c r="T219" s="1">
        <v>0.7891192128086022</v>
      </c>
      <c r="U219" s="1">
        <v>47.425311111111114</v>
      </c>
      <c r="V219" s="1">
        <v>0.95612446413103525</v>
      </c>
      <c r="W219" s="1">
        <v>142.72732493827161</v>
      </c>
      <c r="X219" s="1">
        <v>1.0972370229508961</v>
      </c>
      <c r="Y219" s="1">
        <v>56.751531182795695</v>
      </c>
      <c r="Z219" s="1">
        <v>0.58191722508417498</v>
      </c>
      <c r="AA219" s="1">
        <v>113.48306341189675</v>
      </c>
      <c r="AB219" s="1">
        <v>0.71006899552409397</v>
      </c>
      <c r="AC219" s="1">
        <v>39.761770609318994</v>
      </c>
    </row>
    <row r="220" spans="1:29" x14ac:dyDescent="0.2">
      <c r="A220" s="1" t="s">
        <v>863</v>
      </c>
      <c r="B220" s="1" t="str">
        <f t="shared" ca="1" si="3"/>
        <v>Open</v>
      </c>
      <c r="C220" s="1" t="s">
        <v>2770</v>
      </c>
      <c r="D220" s="1" t="s">
        <v>864</v>
      </c>
      <c r="E220" s="1" t="s">
        <v>865</v>
      </c>
      <c r="F220" s="1" t="s">
        <v>11</v>
      </c>
      <c r="G220" s="1" t="s">
        <v>866</v>
      </c>
      <c r="H220" s="24">
        <v>44701</v>
      </c>
      <c r="I220" s="1"/>
      <c r="J220" s="1">
        <v>47.915939999999999</v>
      </c>
      <c r="K220" s="1">
        <v>106.923687</v>
      </c>
      <c r="L220" s="20">
        <v>0</v>
      </c>
      <c r="M220" s="20">
        <v>0.99930555555555556</v>
      </c>
      <c r="N220" s="1">
        <v>1.2071900321572839</v>
      </c>
      <c r="O220" s="1">
        <v>205.02128320987654</v>
      </c>
      <c r="P220" s="1">
        <v>1.0813356807713261</v>
      </c>
      <c r="Q220" s="1">
        <v>110.12985645161291</v>
      </c>
      <c r="R220" s="1">
        <v>1.4362357007758384</v>
      </c>
      <c r="S220" s="1">
        <v>213.56588565682682</v>
      </c>
      <c r="T220" s="1">
        <v>1.2346461089404936</v>
      </c>
      <c r="U220" s="1">
        <v>102.84008500325838</v>
      </c>
      <c r="V220" s="1">
        <v>1.4334882784788603</v>
      </c>
      <c r="W220" s="1">
        <v>208.61783532763533</v>
      </c>
      <c r="X220" s="1">
        <v>1.0847315618444444</v>
      </c>
      <c r="Y220" s="1">
        <v>100.3790311827957</v>
      </c>
      <c r="Z220" s="1">
        <v>1.2140018020000003</v>
      </c>
      <c r="AA220" s="1">
        <v>222.9155185185185</v>
      </c>
      <c r="AB220" s="1">
        <v>1.087499379827189</v>
      </c>
      <c r="AC220" s="1">
        <v>105.4906470814132</v>
      </c>
    </row>
    <row r="221" spans="1:29" x14ac:dyDescent="0.2">
      <c r="A221" s="1" t="s">
        <v>867</v>
      </c>
      <c r="B221" s="1" t="str">
        <f t="shared" ca="1" si="3"/>
        <v>Open</v>
      </c>
      <c r="C221" s="1" t="s">
        <v>2770</v>
      </c>
      <c r="D221" s="1" t="s">
        <v>868</v>
      </c>
      <c r="E221" s="1" t="s">
        <v>869</v>
      </c>
      <c r="F221" s="1" t="s">
        <v>28</v>
      </c>
      <c r="G221" s="1" t="s">
        <v>870</v>
      </c>
      <c r="H221" s="24">
        <v>44711</v>
      </c>
      <c r="I221" s="1"/>
      <c r="J221" s="1">
        <v>47.914356300000001</v>
      </c>
      <c r="K221" s="1">
        <v>106.86973</v>
      </c>
      <c r="L221" s="20">
        <v>0</v>
      </c>
      <c r="M221" s="20">
        <v>0.99930555555555556</v>
      </c>
      <c r="N221" s="1">
        <v>0.80589161277483357</v>
      </c>
      <c r="O221" s="1">
        <v>141.84550036087367</v>
      </c>
      <c r="P221" s="1">
        <v>1.0609514244156468</v>
      </c>
      <c r="Q221" s="1">
        <v>62.44819949326412</v>
      </c>
      <c r="R221" s="1">
        <v>0.72559719928917377</v>
      </c>
      <c r="S221" s="1">
        <v>117.05246961063627</v>
      </c>
      <c r="T221" s="1">
        <v>0.94349166652473115</v>
      </c>
      <c r="U221" s="1">
        <v>52.021880286738337</v>
      </c>
      <c r="V221" s="1">
        <v>0.95651020607500448</v>
      </c>
      <c r="W221" s="1">
        <v>164.55687756885084</v>
      </c>
      <c r="X221" s="1">
        <v>1.1695517370225808</v>
      </c>
      <c r="Y221" s="1">
        <v>62.0294387096774</v>
      </c>
      <c r="Z221" s="1">
        <v>0.72107969941512351</v>
      </c>
      <c r="AA221" s="1">
        <v>141.08595061728394</v>
      </c>
      <c r="AB221" s="1">
        <v>0.88614351537519187</v>
      </c>
      <c r="AC221" s="1">
        <v>52.792821812595996</v>
      </c>
    </row>
    <row r="222" spans="1:29" x14ac:dyDescent="0.2">
      <c r="A222" s="1" t="s">
        <v>871</v>
      </c>
      <c r="B222" s="1" t="str">
        <f t="shared" ca="1" si="3"/>
        <v>Open</v>
      </c>
      <c r="C222" s="1" t="s">
        <v>2770</v>
      </c>
      <c r="D222" s="1" t="s">
        <v>872</v>
      </c>
      <c r="E222" s="1" t="s">
        <v>873</v>
      </c>
      <c r="F222" s="1" t="s">
        <v>28</v>
      </c>
      <c r="G222" s="1" t="s">
        <v>874</v>
      </c>
      <c r="H222" s="24">
        <v>44749</v>
      </c>
      <c r="I222" s="1"/>
      <c r="J222" s="1">
        <v>47.916563099999998</v>
      </c>
      <c r="K222" s="1">
        <v>106.894491</v>
      </c>
      <c r="L222" s="20">
        <v>0</v>
      </c>
      <c r="M222" s="20">
        <v>0.99930555555555556</v>
      </c>
      <c r="N222" s="1">
        <v>0.64510689594617265</v>
      </c>
      <c r="O222" s="1">
        <v>95.321082013295367</v>
      </c>
      <c r="P222" s="1">
        <v>1.3302070339795695</v>
      </c>
      <c r="Q222" s="1">
        <v>64.563806093189967</v>
      </c>
      <c r="R222" s="1">
        <v>0.64758115095821467</v>
      </c>
      <c r="S222" s="1">
        <v>83.657367046533736</v>
      </c>
      <c r="T222" s="1">
        <v>1.0995377836849463</v>
      </c>
      <c r="U222" s="1">
        <v>60.018758064516135</v>
      </c>
      <c r="V222" s="1">
        <v>0.60176791790573592</v>
      </c>
      <c r="W222" s="1">
        <v>70.979768641975312</v>
      </c>
      <c r="X222" s="1">
        <v>1.0700488482874553</v>
      </c>
      <c r="Y222" s="1">
        <v>46.258530107526894</v>
      </c>
      <c r="Z222" s="1">
        <v>0.49134176288352133</v>
      </c>
      <c r="AA222" s="1">
        <v>83.778898013955981</v>
      </c>
      <c r="AB222" s="1">
        <v>1.0219146692968508</v>
      </c>
      <c r="AC222" s="1">
        <v>47.116183947772662</v>
      </c>
    </row>
    <row r="223" spans="1:29" x14ac:dyDescent="0.2">
      <c r="A223" s="1" t="s">
        <v>875</v>
      </c>
      <c r="B223" s="1" t="str">
        <f t="shared" ca="1" si="3"/>
        <v>Open</v>
      </c>
      <c r="C223" s="1" t="s">
        <v>2770</v>
      </c>
      <c r="D223" s="1" t="s">
        <v>876</v>
      </c>
      <c r="E223" s="1" t="s">
        <v>877</v>
      </c>
      <c r="F223" s="1" t="s">
        <v>28</v>
      </c>
      <c r="G223" s="1" t="s">
        <v>878</v>
      </c>
      <c r="H223" s="24">
        <v>44720</v>
      </c>
      <c r="I223" s="1"/>
      <c r="J223" s="1">
        <v>47.919691999999998</v>
      </c>
      <c r="K223" s="1">
        <v>106.884496</v>
      </c>
      <c r="L223" s="20">
        <v>0.29166666666666669</v>
      </c>
      <c r="M223" s="20">
        <v>0.99930555555555556</v>
      </c>
      <c r="N223" s="1">
        <v>0.44407486927918322</v>
      </c>
      <c r="O223" s="1">
        <v>80.690318936372265</v>
      </c>
      <c r="P223" s="1">
        <v>0.53185799604121864</v>
      </c>
      <c r="Q223" s="1">
        <v>34.575037634408595</v>
      </c>
      <c r="R223" s="1">
        <v>0.47419235296391266</v>
      </c>
      <c r="S223" s="1">
        <v>72.099013770180434</v>
      </c>
      <c r="T223" s="1">
        <v>0.49918491301863804</v>
      </c>
      <c r="U223" s="1">
        <v>34.934415412186375</v>
      </c>
      <c r="V223" s="1">
        <v>0.50940994634400749</v>
      </c>
      <c r="W223" s="1">
        <v>70.952967255460592</v>
      </c>
      <c r="X223" s="1">
        <v>0.51370859231756261</v>
      </c>
      <c r="Y223" s="1">
        <v>34.162951971326159</v>
      </c>
      <c r="Z223" s="1">
        <v>0.32421237897526733</v>
      </c>
      <c r="AA223" s="1">
        <v>63.658353276353274</v>
      </c>
      <c r="AB223" s="1">
        <v>0.42177614693548388</v>
      </c>
      <c r="AC223" s="1">
        <v>28.226008832565281</v>
      </c>
    </row>
    <row r="224" spans="1:29" x14ac:dyDescent="0.2">
      <c r="A224" s="1" t="s">
        <v>879</v>
      </c>
      <c r="B224" s="1" t="str">
        <f t="shared" ca="1" si="3"/>
        <v>Open</v>
      </c>
      <c r="C224" s="1" t="s">
        <v>2770</v>
      </c>
      <c r="D224" s="1" t="s">
        <v>880</v>
      </c>
      <c r="E224" s="1" t="s">
        <v>881</v>
      </c>
      <c r="F224" s="1" t="s">
        <v>11</v>
      </c>
      <c r="G224" s="1" t="s">
        <v>882</v>
      </c>
      <c r="H224" s="24">
        <v>44735</v>
      </c>
      <c r="I224" s="1"/>
      <c r="J224" s="1">
        <v>47.919061999999997</v>
      </c>
      <c r="K224" s="1">
        <v>106.920793</v>
      </c>
      <c r="L224" s="20">
        <v>0.29166666666666669</v>
      </c>
      <c r="M224" s="20">
        <v>0.99930555555555556</v>
      </c>
      <c r="N224" s="1">
        <v>0.67394788898560309</v>
      </c>
      <c r="O224" s="1">
        <v>103.54401477682813</v>
      </c>
      <c r="P224" s="1">
        <v>0.89413907163046569</v>
      </c>
      <c r="Q224" s="1">
        <v>73.232713978494601</v>
      </c>
      <c r="R224" s="1">
        <v>0.76007385115574555</v>
      </c>
      <c r="S224" s="1">
        <v>102.39394254510921</v>
      </c>
      <c r="T224" s="1">
        <v>0.98046997011935477</v>
      </c>
      <c r="U224" s="1">
        <v>72.741489964157708</v>
      </c>
      <c r="V224" s="1">
        <v>0.88874058337372552</v>
      </c>
      <c r="W224" s="1">
        <v>126.46937046757165</v>
      </c>
      <c r="X224" s="1">
        <v>1.0031612838498205</v>
      </c>
      <c r="Y224" s="1">
        <v>71.827477240143381</v>
      </c>
      <c r="Z224" s="1">
        <v>0.5212422484382716</v>
      </c>
      <c r="AA224" s="1">
        <v>86.019888888888886</v>
      </c>
      <c r="AB224" s="1">
        <v>0.74916046502945299</v>
      </c>
      <c r="AC224" s="1">
        <v>66.54631416549789</v>
      </c>
    </row>
    <row r="225" spans="1:29" x14ac:dyDescent="0.2">
      <c r="A225" s="1" t="s">
        <v>883</v>
      </c>
      <c r="B225" s="1" t="str">
        <f t="shared" ca="1" si="3"/>
        <v>Open</v>
      </c>
      <c r="C225" s="1" t="s">
        <v>2770</v>
      </c>
      <c r="D225" s="1" t="s">
        <v>884</v>
      </c>
      <c r="E225" s="1" t="s">
        <v>885</v>
      </c>
      <c r="F225" s="1" t="s">
        <v>48</v>
      </c>
      <c r="G225" s="1" t="s">
        <v>886</v>
      </c>
      <c r="H225" s="24">
        <v>44734</v>
      </c>
      <c r="I225" s="1"/>
      <c r="J225" s="1">
        <v>47.911613000000003</v>
      </c>
      <c r="K225" s="1">
        <v>106.943184</v>
      </c>
      <c r="L225" s="20">
        <v>0</v>
      </c>
      <c r="M225" s="20">
        <v>0.99930555555555556</v>
      </c>
      <c r="N225" s="1">
        <v>0.72194222407661923</v>
      </c>
      <c r="O225" s="1">
        <v>114.81840769230769</v>
      </c>
      <c r="P225" s="1">
        <v>0.8967912477835126</v>
      </c>
      <c r="Q225" s="1">
        <v>61.760566308243746</v>
      </c>
      <c r="R225" s="1">
        <v>0.71126535678774927</v>
      </c>
      <c r="S225" s="1">
        <v>103.01649335232669</v>
      </c>
      <c r="T225" s="1">
        <v>0.76335516929032243</v>
      </c>
      <c r="U225" s="1">
        <v>50.377870967741949</v>
      </c>
      <c r="V225" s="1">
        <v>0.71400657032320991</v>
      </c>
      <c r="W225" s="1">
        <v>109.36509650522316</v>
      </c>
      <c r="X225" s="1">
        <v>0.68385737843333338</v>
      </c>
      <c r="Y225" s="1">
        <v>38.662570609318998</v>
      </c>
      <c r="Z225" s="1">
        <v>0.52162971859876539</v>
      </c>
      <c r="AA225" s="1">
        <v>94.4134598765432</v>
      </c>
      <c r="AB225" s="1">
        <v>0.58006233173886346</v>
      </c>
      <c r="AC225" s="1">
        <v>43.02094585253456</v>
      </c>
    </row>
    <row r="226" spans="1:29" x14ac:dyDescent="0.2">
      <c r="A226" s="1" t="s">
        <v>887</v>
      </c>
      <c r="B226" s="1" t="str">
        <f t="shared" ca="1" si="3"/>
        <v>Open</v>
      </c>
      <c r="C226" s="1" t="s">
        <v>2770</v>
      </c>
      <c r="D226" s="1" t="s">
        <v>888</v>
      </c>
      <c r="E226" s="1" t="s">
        <v>889</v>
      </c>
      <c r="F226" s="1" t="s">
        <v>11</v>
      </c>
      <c r="G226" s="1" t="s">
        <v>890</v>
      </c>
      <c r="H226" s="24">
        <v>44770</v>
      </c>
      <c r="I226" s="1"/>
      <c r="J226" s="1">
        <v>47.914171000000003</v>
      </c>
      <c r="K226" s="1">
        <v>106.908038</v>
      </c>
      <c r="L226" s="20">
        <v>0</v>
      </c>
      <c r="M226" s="20">
        <v>0.99930555555555556</v>
      </c>
      <c r="N226" s="1">
        <v>1.5425147907143779</v>
      </c>
      <c r="O226" s="1">
        <v>302.52509979107316</v>
      </c>
      <c r="P226" s="1">
        <v>3.0760148861616483</v>
      </c>
      <c r="Q226" s="1">
        <v>101.95042795698923</v>
      </c>
      <c r="R226" s="1">
        <v>1.7699837393290601</v>
      </c>
      <c r="S226" s="1">
        <v>295.38776115859446</v>
      </c>
      <c r="T226" s="1">
        <v>2.2962711988982076</v>
      </c>
      <c r="U226" s="1">
        <v>103.33807921146955</v>
      </c>
      <c r="V226" s="1">
        <v>2.1934890989731812</v>
      </c>
      <c r="W226" s="1">
        <v>414.96610645773973</v>
      </c>
      <c r="X226" s="1">
        <v>2.8546076878254483</v>
      </c>
      <c r="Y226" s="1">
        <v>112.90309820788531</v>
      </c>
      <c r="Z226" s="1">
        <v>1.2549522506033279</v>
      </c>
      <c r="AA226" s="1">
        <v>260.9889849704777</v>
      </c>
      <c r="AB226" s="1">
        <v>2.2789893869792626</v>
      </c>
      <c r="AC226" s="1">
        <v>83.419062980030716</v>
      </c>
    </row>
    <row r="227" spans="1:29" x14ac:dyDescent="0.2">
      <c r="A227" s="1" t="s">
        <v>891</v>
      </c>
      <c r="B227" s="1" t="str">
        <f t="shared" ca="1" si="3"/>
        <v>Open</v>
      </c>
      <c r="C227" s="1" t="s">
        <v>2770</v>
      </c>
      <c r="D227" s="1" t="s">
        <v>892</v>
      </c>
      <c r="E227" s="1" t="s">
        <v>893</v>
      </c>
      <c r="F227" s="1" t="s">
        <v>28</v>
      </c>
      <c r="G227" s="1" t="s">
        <v>894</v>
      </c>
      <c r="H227" s="24">
        <v>44731</v>
      </c>
      <c r="I227" s="1"/>
      <c r="J227" s="1">
        <v>47.919806000000001</v>
      </c>
      <c r="K227" s="1">
        <v>106.895116</v>
      </c>
      <c r="L227" s="20">
        <v>0.29166666666666669</v>
      </c>
      <c r="M227" s="20">
        <v>0.99930555555555556</v>
      </c>
      <c r="N227" s="1">
        <v>0.41874759432873687</v>
      </c>
      <c r="O227" s="1">
        <v>69.287983684710326</v>
      </c>
      <c r="P227" s="1">
        <v>0.69550847889928324</v>
      </c>
      <c r="Q227" s="1">
        <v>37.797418996415765</v>
      </c>
      <c r="R227" s="1">
        <v>0.54064103834472943</v>
      </c>
      <c r="S227" s="1">
        <v>79.090465337132002</v>
      </c>
      <c r="T227" s="1">
        <v>0.81810631199283135</v>
      </c>
      <c r="U227" s="1">
        <v>46.395847311827957</v>
      </c>
      <c r="V227" s="1">
        <v>0.5896432023238557</v>
      </c>
      <c r="W227" s="1">
        <v>81.888997644824315</v>
      </c>
      <c r="X227" s="1">
        <v>0.85492163984372749</v>
      </c>
      <c r="Y227" s="1">
        <v>45.731801792114702</v>
      </c>
      <c r="Z227" s="1">
        <v>0.42501977973268912</v>
      </c>
      <c r="AA227" s="1">
        <v>65.629296833064942</v>
      </c>
      <c r="AB227" s="1">
        <v>0.51875934362557607</v>
      </c>
      <c r="AC227" s="1">
        <v>35.052395929339482</v>
      </c>
    </row>
    <row r="228" spans="1:29" x14ac:dyDescent="0.2">
      <c r="A228" s="1" t="s">
        <v>895</v>
      </c>
      <c r="B228" s="1" t="str">
        <f t="shared" ca="1" si="3"/>
        <v>Open</v>
      </c>
      <c r="C228" s="1" t="s">
        <v>2770</v>
      </c>
      <c r="D228" s="1" t="s">
        <v>896</v>
      </c>
      <c r="E228" s="1" t="s">
        <v>897</v>
      </c>
      <c r="F228" s="1" t="s">
        <v>33</v>
      </c>
      <c r="G228" s="1" t="s">
        <v>898</v>
      </c>
      <c r="H228" s="24">
        <v>44734</v>
      </c>
      <c r="I228" s="1"/>
      <c r="J228" s="1">
        <v>48.017001</v>
      </c>
      <c r="K228" s="1">
        <v>106.916658</v>
      </c>
      <c r="L228" s="20">
        <v>0</v>
      </c>
      <c r="M228" s="20">
        <v>0.99930555555555556</v>
      </c>
      <c r="N228" s="1">
        <v>0.78165461669544156</v>
      </c>
      <c r="O228" s="1">
        <v>115.85259580246911</v>
      </c>
      <c r="P228" s="1">
        <v>1.449198889487455</v>
      </c>
      <c r="Q228" s="1">
        <v>50.082351971326169</v>
      </c>
      <c r="R228" s="1">
        <v>0.79627641990455833</v>
      </c>
      <c r="S228" s="1">
        <v>98.929636277302947</v>
      </c>
      <c r="T228" s="1">
        <v>1.243455871991398</v>
      </c>
      <c r="U228" s="1">
        <v>47.252687813620064</v>
      </c>
      <c r="V228" s="1">
        <v>1.3255818016885847</v>
      </c>
      <c r="W228" s="1">
        <v>200.33307775878441</v>
      </c>
      <c r="X228" s="1">
        <v>2.1833230892319002</v>
      </c>
      <c r="Y228" s="1">
        <v>73.900853763440878</v>
      </c>
      <c r="Z228" s="1">
        <v>0.56385955231729223</v>
      </c>
      <c r="AA228" s="1">
        <v>90.577518931417487</v>
      </c>
      <c r="AB228" s="1">
        <v>0.96223707411712767</v>
      </c>
      <c r="AC228" s="1">
        <v>35.84635176651306</v>
      </c>
    </row>
    <row r="229" spans="1:29" x14ac:dyDescent="0.2">
      <c r="A229" s="1" t="s">
        <v>899</v>
      </c>
      <c r="B229" s="1" t="str">
        <f t="shared" ca="1" si="3"/>
        <v>Closed</v>
      </c>
      <c r="C229" s="1" t="s">
        <v>2770</v>
      </c>
      <c r="D229" s="1" t="s">
        <v>900</v>
      </c>
      <c r="E229" s="1" t="s">
        <v>901</v>
      </c>
      <c r="F229" s="1" t="s">
        <v>11</v>
      </c>
      <c r="G229" s="1" t="s">
        <v>902</v>
      </c>
      <c r="H229" s="24">
        <v>44736</v>
      </c>
      <c r="I229" s="24">
        <v>45944</v>
      </c>
      <c r="J229" s="1">
        <v>47.915708000000002</v>
      </c>
      <c r="K229" s="1">
        <v>106.903233</v>
      </c>
      <c r="L229" s="20">
        <v>0.29166666666666669</v>
      </c>
      <c r="M229" s="20">
        <v>0.83333333333333337</v>
      </c>
      <c r="N229" s="1">
        <v>0.33862168138429311</v>
      </c>
      <c r="O229" s="1">
        <v>58.453829020821054</v>
      </c>
      <c r="P229" s="1">
        <v>0.6348511862155698</v>
      </c>
      <c r="Q229" s="1">
        <v>33.590424707401873</v>
      </c>
      <c r="R229" s="1">
        <v>0.54691589669985641</v>
      </c>
      <c r="S229" s="1">
        <v>86.529046606246808</v>
      </c>
      <c r="T229" s="1">
        <v>0.64967522554141244</v>
      </c>
      <c r="U229" s="1">
        <v>36.968863135326494</v>
      </c>
      <c r="V229" s="1">
        <v>0.46154808941736336</v>
      </c>
      <c r="W229" s="1">
        <v>80.676263842437763</v>
      </c>
      <c r="X229" s="1">
        <v>0.51035225744480295</v>
      </c>
      <c r="Y229" s="1">
        <v>28.427037634408602</v>
      </c>
      <c r="Z229" s="1">
        <v>0.61668712407906823</v>
      </c>
      <c r="AA229" s="1">
        <v>111.42882484304808</v>
      </c>
      <c r="AB229" s="1">
        <v>0.75426453629546997</v>
      </c>
      <c r="AC229" s="1">
        <v>41.5584292989384</v>
      </c>
    </row>
    <row r="230" spans="1:29" x14ac:dyDescent="0.2">
      <c r="A230" s="1" t="s">
        <v>903</v>
      </c>
      <c r="B230" s="1" t="str">
        <f t="shared" ca="1" si="3"/>
        <v>Open</v>
      </c>
      <c r="C230" s="1" t="s">
        <v>2770</v>
      </c>
      <c r="D230" s="1" t="s">
        <v>904</v>
      </c>
      <c r="E230" s="1" t="s">
        <v>905</v>
      </c>
      <c r="F230" s="1" t="s">
        <v>64</v>
      </c>
      <c r="G230" s="1" t="s">
        <v>906</v>
      </c>
      <c r="H230" s="24">
        <v>44738</v>
      </c>
      <c r="I230" s="1"/>
      <c r="J230" s="1">
        <v>47.868493999999998</v>
      </c>
      <c r="K230" s="1">
        <v>106.839855</v>
      </c>
      <c r="L230" s="20">
        <v>0</v>
      </c>
      <c r="M230" s="20">
        <v>0.99930555555555556</v>
      </c>
      <c r="N230" s="1">
        <v>0.5868559519947768</v>
      </c>
      <c r="O230" s="1">
        <v>107.51274250712252</v>
      </c>
      <c r="P230" s="1">
        <v>0.96331157223082398</v>
      </c>
      <c r="Q230" s="1">
        <v>41.857170967741929</v>
      </c>
      <c r="R230" s="1">
        <v>0.56611546036307692</v>
      </c>
      <c r="S230" s="1">
        <v>90.785780056980059</v>
      </c>
      <c r="T230" s="1">
        <v>1.1127454353724009</v>
      </c>
      <c r="U230" s="1">
        <v>40.102101792114702</v>
      </c>
      <c r="V230" s="1">
        <v>0.76736969217880346</v>
      </c>
      <c r="W230" s="1">
        <v>124.49075435897436</v>
      </c>
      <c r="X230" s="1">
        <v>1.3256965299204302</v>
      </c>
      <c r="Y230" s="1">
        <v>49.333639068100375</v>
      </c>
      <c r="Z230" s="1">
        <v>0.51948571328448745</v>
      </c>
      <c r="AA230" s="1">
        <v>111.146217928073</v>
      </c>
      <c r="AB230" s="1">
        <v>0.86503877756797254</v>
      </c>
      <c r="AC230" s="1">
        <v>32.481953917050696</v>
      </c>
    </row>
    <row r="231" spans="1:29" x14ac:dyDescent="0.2">
      <c r="A231" s="1" t="s">
        <v>907</v>
      </c>
      <c r="B231" s="1" t="str">
        <f t="shared" ca="1" si="3"/>
        <v>Open</v>
      </c>
      <c r="C231" s="1" t="s">
        <v>2770</v>
      </c>
      <c r="D231" s="1" t="s">
        <v>908</v>
      </c>
      <c r="E231" s="1" t="s">
        <v>909</v>
      </c>
      <c r="F231" s="1" t="s">
        <v>64</v>
      </c>
      <c r="G231" s="1" t="s">
        <v>910</v>
      </c>
      <c r="H231" s="24">
        <v>44738</v>
      </c>
      <c r="I231" s="1"/>
      <c r="J231" s="1">
        <v>47.870759999999997</v>
      </c>
      <c r="K231" s="1">
        <v>106.83064899999999</v>
      </c>
      <c r="L231" s="20">
        <v>0</v>
      </c>
      <c r="M231" s="20">
        <v>0.99930555555555556</v>
      </c>
      <c r="N231" s="1">
        <v>1.6439466164710161</v>
      </c>
      <c r="O231" s="1">
        <v>295.67453424501429</v>
      </c>
      <c r="P231" s="1">
        <v>2.2754017184344089</v>
      </c>
      <c r="Q231" s="1">
        <v>94.703155197132617</v>
      </c>
      <c r="R231" s="1">
        <v>1.339259014749288</v>
      </c>
      <c r="S231" s="1">
        <v>176.18431813865149</v>
      </c>
      <c r="T231" s="1">
        <v>1.7865572442569893</v>
      </c>
      <c r="U231" s="1">
        <v>86.101755555555584</v>
      </c>
      <c r="V231" s="1">
        <v>1.8650713787452615</v>
      </c>
      <c r="W231" s="1">
        <v>291.30945188983861</v>
      </c>
      <c r="X231" s="1">
        <v>2.0920717087756269</v>
      </c>
      <c r="Y231" s="1">
        <v>106.5351483870968</v>
      </c>
      <c r="Z231" s="1">
        <v>0.87349743095008048</v>
      </c>
      <c r="AA231" s="1">
        <v>140.32796511003758</v>
      </c>
      <c r="AB231" s="1">
        <v>1.4672951410395545</v>
      </c>
      <c r="AC231" s="1">
        <v>63.951986559139776</v>
      </c>
    </row>
    <row r="232" spans="1:29" x14ac:dyDescent="0.2">
      <c r="A232" s="1" t="s">
        <v>911</v>
      </c>
      <c r="B232" s="1" t="str">
        <f t="shared" ca="1" si="3"/>
        <v>Open</v>
      </c>
      <c r="C232" s="1" t="s">
        <v>2770</v>
      </c>
      <c r="D232" s="1" t="s">
        <v>912</v>
      </c>
      <c r="E232" s="1" t="s">
        <v>913</v>
      </c>
      <c r="F232" s="1" t="s">
        <v>28</v>
      </c>
      <c r="G232" s="1" t="s">
        <v>914</v>
      </c>
      <c r="H232" s="24">
        <v>44742</v>
      </c>
      <c r="I232" s="1"/>
      <c r="J232" s="1">
        <v>47.923003000000001</v>
      </c>
      <c r="K232" s="1">
        <v>106.873684</v>
      </c>
      <c r="L232" s="20">
        <v>0</v>
      </c>
      <c r="M232" s="20">
        <v>0.99930555555555556</v>
      </c>
      <c r="N232" s="1">
        <v>0.63764261121054122</v>
      </c>
      <c r="O232" s="1">
        <v>106.28322372269706</v>
      </c>
      <c r="P232" s="1">
        <v>0.85782758115161284</v>
      </c>
      <c r="Q232" s="1">
        <v>48.169386738351271</v>
      </c>
      <c r="R232" s="1">
        <v>0.58594794503513759</v>
      </c>
      <c r="S232" s="1">
        <v>79.526515194681863</v>
      </c>
      <c r="T232" s="1">
        <v>0.72366285869677416</v>
      </c>
      <c r="U232" s="1">
        <v>46.158933691756282</v>
      </c>
      <c r="V232" s="1">
        <v>0.69059255819008569</v>
      </c>
      <c r="W232" s="1">
        <v>94.103791509971487</v>
      </c>
      <c r="X232" s="1">
        <v>0.90874468298494626</v>
      </c>
      <c r="Y232" s="1">
        <v>50.158271326164872</v>
      </c>
      <c r="Z232" s="1">
        <v>0.54723346257595284</v>
      </c>
      <c r="AA232" s="1">
        <v>96.502115942028965</v>
      </c>
      <c r="AB232" s="1">
        <v>0.60424130112058372</v>
      </c>
      <c r="AC232" s="1">
        <v>39.950663594470051</v>
      </c>
    </row>
    <row r="233" spans="1:29" x14ac:dyDescent="0.2">
      <c r="A233" s="1" t="s">
        <v>915</v>
      </c>
      <c r="B233" s="1" t="str">
        <f t="shared" ca="1" si="3"/>
        <v>Open</v>
      </c>
      <c r="C233" s="1" t="s">
        <v>2770</v>
      </c>
      <c r="D233" s="1" t="s">
        <v>916</v>
      </c>
      <c r="E233" s="1" t="s">
        <v>917</v>
      </c>
      <c r="F233" s="1" t="s">
        <v>64</v>
      </c>
      <c r="G233" s="1" t="s">
        <v>918</v>
      </c>
      <c r="H233" s="24">
        <v>44742</v>
      </c>
      <c r="I233" s="1"/>
      <c r="J233" s="1">
        <v>47.873798000000001</v>
      </c>
      <c r="K233" s="1">
        <v>106.837598</v>
      </c>
      <c r="L233" s="20">
        <v>0.29166666666666669</v>
      </c>
      <c r="M233" s="20">
        <v>0.99930555555555556</v>
      </c>
      <c r="N233" s="1">
        <v>0.57029623750203229</v>
      </c>
      <c r="O233" s="1">
        <v>95.948237929724613</v>
      </c>
      <c r="P233" s="1">
        <v>1.1339924809498212</v>
      </c>
      <c r="Q233" s="1">
        <v>41.222203225806453</v>
      </c>
      <c r="R233" s="1">
        <v>0.56411617236894573</v>
      </c>
      <c r="S233" s="1">
        <v>85.879239316239321</v>
      </c>
      <c r="T233" s="1">
        <v>0.80976545534982092</v>
      </c>
      <c r="U233" s="1">
        <v>40.091559139784941</v>
      </c>
      <c r="V233" s="1">
        <v>0.75874414115171895</v>
      </c>
      <c r="W233" s="1">
        <v>103.6735155745489</v>
      </c>
      <c r="X233" s="1">
        <v>1.0826727404229388</v>
      </c>
      <c r="Y233" s="1">
        <v>46.974484229390676</v>
      </c>
      <c r="Z233" s="1">
        <v>0.49382901926813655</v>
      </c>
      <c r="AA233" s="1">
        <v>92.960361740782048</v>
      </c>
      <c r="AB233" s="1">
        <v>0.8218886146497697</v>
      </c>
      <c r="AC233" s="1">
        <v>37.771199692780336</v>
      </c>
    </row>
    <row r="234" spans="1:29" x14ac:dyDescent="0.2">
      <c r="A234" s="1" t="s">
        <v>919</v>
      </c>
      <c r="B234" s="1" t="str">
        <f t="shared" ca="1" si="3"/>
        <v>Open</v>
      </c>
      <c r="C234" s="1" t="s">
        <v>2770</v>
      </c>
      <c r="D234" s="1" t="s">
        <v>920</v>
      </c>
      <c r="E234" s="1" t="s">
        <v>921</v>
      </c>
      <c r="F234" s="1" t="s">
        <v>28</v>
      </c>
      <c r="G234" s="1" t="s">
        <v>2651</v>
      </c>
      <c r="H234" s="24">
        <v>44742</v>
      </c>
      <c r="I234" s="1"/>
      <c r="J234" s="1">
        <v>47.912951</v>
      </c>
      <c r="K234" s="1">
        <v>106.861092</v>
      </c>
      <c r="L234" s="20">
        <v>0</v>
      </c>
      <c r="M234" s="20">
        <v>0.99930555555555556</v>
      </c>
      <c r="N234" s="1">
        <v>0.75611888411204176</v>
      </c>
      <c r="O234" s="1">
        <v>144.7657615954416</v>
      </c>
      <c r="P234" s="1">
        <v>1.052835386481362</v>
      </c>
      <c r="Q234" s="1">
        <v>45.725136200716861</v>
      </c>
      <c r="R234" s="1">
        <v>0.72283353715337129</v>
      </c>
      <c r="S234" s="1">
        <v>116.26725166191834</v>
      </c>
      <c r="T234" s="1">
        <v>0.97738821085268812</v>
      </c>
      <c r="U234" s="1">
        <v>41.450878494623652</v>
      </c>
      <c r="V234" s="1">
        <v>0.77852202269969617</v>
      </c>
      <c r="W234" s="1">
        <v>122.03798241215573</v>
      </c>
      <c r="X234" s="1">
        <v>1.1561973140580644</v>
      </c>
      <c r="Y234" s="1">
        <v>45.30002186379928</v>
      </c>
      <c r="Z234" s="1">
        <v>0.63929307024047244</v>
      </c>
      <c r="AA234" s="1">
        <v>134.56960708534621</v>
      </c>
      <c r="AB234" s="1">
        <v>0.85183728233102907</v>
      </c>
      <c r="AC234" s="1">
        <v>38.315340629800303</v>
      </c>
    </row>
    <row r="235" spans="1:29" x14ac:dyDescent="0.2">
      <c r="A235" s="1" t="s">
        <v>922</v>
      </c>
      <c r="B235" s="1" t="str">
        <f t="shared" ca="1" si="3"/>
        <v>Open</v>
      </c>
      <c r="C235" s="1" t="s">
        <v>2770</v>
      </c>
      <c r="D235" s="1" t="s">
        <v>923</v>
      </c>
      <c r="E235" s="1" t="s">
        <v>924</v>
      </c>
      <c r="F235" s="1" t="s">
        <v>48</v>
      </c>
      <c r="G235" s="1" t="s">
        <v>925</v>
      </c>
      <c r="H235" s="24">
        <v>44747</v>
      </c>
      <c r="I235" s="1"/>
      <c r="J235" s="1">
        <v>47.902107999999998</v>
      </c>
      <c r="K235" s="1">
        <v>106.93638</v>
      </c>
      <c r="L235" s="20">
        <v>0</v>
      </c>
      <c r="M235" s="20">
        <v>0.99930555555555556</v>
      </c>
      <c r="N235" s="1">
        <v>0.65219848331658115</v>
      </c>
      <c r="O235" s="1">
        <v>119.15813456790124</v>
      </c>
      <c r="P235" s="1">
        <v>1.1787953048426523</v>
      </c>
      <c r="Q235" s="1">
        <v>41.42368996415771</v>
      </c>
      <c r="R235" s="1">
        <v>0.6949069340660019</v>
      </c>
      <c r="S235" s="1">
        <v>103.95649667616333</v>
      </c>
      <c r="T235" s="1">
        <v>1.5000155670910136</v>
      </c>
      <c r="U235" s="1">
        <v>42.631407834101388</v>
      </c>
      <c r="V235" s="1">
        <v>0.766004945034093</v>
      </c>
      <c r="W235" s="1">
        <v>126.2258315099715</v>
      </c>
      <c r="X235" s="1">
        <v>1.4702958990611794</v>
      </c>
      <c r="Y235" s="1">
        <v>46.17218761586949</v>
      </c>
      <c r="Z235" s="1">
        <v>0.49063592843156206</v>
      </c>
      <c r="AA235" s="1">
        <v>84.733071390230805</v>
      </c>
      <c r="AB235" s="1">
        <v>0.98431852394393238</v>
      </c>
      <c r="AC235" s="1">
        <v>27.866683947772657</v>
      </c>
    </row>
    <row r="236" spans="1:29" x14ac:dyDescent="0.2">
      <c r="A236" s="1" t="s">
        <v>926</v>
      </c>
      <c r="B236" s="1" t="str">
        <f t="shared" ca="1" si="3"/>
        <v>Open</v>
      </c>
      <c r="C236" s="1" t="s">
        <v>2770</v>
      </c>
      <c r="D236" s="1" t="s">
        <v>927</v>
      </c>
      <c r="E236" s="1" t="s">
        <v>33</v>
      </c>
      <c r="F236" s="1" t="s">
        <v>33</v>
      </c>
      <c r="G236" s="1" t="s">
        <v>928</v>
      </c>
      <c r="H236" s="24">
        <v>44771</v>
      </c>
      <c r="I236" s="1"/>
      <c r="J236" s="1">
        <v>47.921843000000003</v>
      </c>
      <c r="K236" s="1">
        <v>106.908709</v>
      </c>
      <c r="L236" s="20">
        <v>0.29166666666666669</v>
      </c>
      <c r="M236" s="20">
        <v>0.99930555555555556</v>
      </c>
      <c r="N236" s="1">
        <v>0.40539996326072175</v>
      </c>
      <c r="O236" s="1">
        <v>74.537153086419764</v>
      </c>
      <c r="P236" s="1">
        <v>0.6181536043767023</v>
      </c>
      <c r="Q236" s="1">
        <v>31.832008960573479</v>
      </c>
      <c r="R236" s="1">
        <v>0.4541157291415005</v>
      </c>
      <c r="S236" s="1">
        <v>64.509679487179483</v>
      </c>
      <c r="T236" s="1">
        <v>0.59671290213942652</v>
      </c>
      <c r="U236" s="1">
        <v>33.257081003584226</v>
      </c>
      <c r="V236" s="1">
        <v>0.42350993596526121</v>
      </c>
      <c r="W236" s="1">
        <v>69.065121975308656</v>
      </c>
      <c r="X236" s="1">
        <v>0.4671015057444447</v>
      </c>
      <c r="Y236" s="1">
        <v>27.423630107526879</v>
      </c>
      <c r="Z236" s="1">
        <v>0.29475801839881915</v>
      </c>
      <c r="AA236" s="1">
        <v>60.860728395061727</v>
      </c>
      <c r="AB236" s="1">
        <v>0.39298928575576036</v>
      </c>
      <c r="AC236" s="1">
        <v>26.636322196620583</v>
      </c>
    </row>
    <row r="237" spans="1:29" x14ac:dyDescent="0.2">
      <c r="A237" s="1" t="s">
        <v>929</v>
      </c>
      <c r="B237" s="1" t="str">
        <f t="shared" ca="1" si="3"/>
        <v>Open</v>
      </c>
      <c r="C237" s="1" t="s">
        <v>2770</v>
      </c>
      <c r="D237" s="1" t="s">
        <v>930</v>
      </c>
      <c r="E237" s="1" t="s">
        <v>931</v>
      </c>
      <c r="F237" s="1" t="s">
        <v>64</v>
      </c>
      <c r="G237" s="1" t="s">
        <v>932</v>
      </c>
      <c r="H237" s="24">
        <v>44771</v>
      </c>
      <c r="I237" s="1"/>
      <c r="J237" s="1">
        <v>47.902980999999997</v>
      </c>
      <c r="K237" s="1">
        <v>106.90902699999999</v>
      </c>
      <c r="L237" s="20">
        <v>0.29166666666666669</v>
      </c>
      <c r="M237" s="20">
        <v>0.99930555555555556</v>
      </c>
      <c r="N237" s="1">
        <v>0.53967345826017099</v>
      </c>
      <c r="O237" s="1">
        <v>98.40206317188985</v>
      </c>
      <c r="P237" s="1">
        <v>0.79215426129247291</v>
      </c>
      <c r="Q237" s="1">
        <v>31.168275268817201</v>
      </c>
      <c r="R237" s="1">
        <v>0.61893183851282052</v>
      </c>
      <c r="S237" s="1">
        <v>100.82067711301045</v>
      </c>
      <c r="T237" s="1">
        <v>0.96224670507526877</v>
      </c>
      <c r="U237" s="1">
        <v>41.184688530465948</v>
      </c>
      <c r="V237" s="1">
        <v>0.66900875139563143</v>
      </c>
      <c r="W237" s="1">
        <v>110.01141422602088</v>
      </c>
      <c r="X237" s="1">
        <v>0.97727019875555576</v>
      </c>
      <c r="Y237" s="1">
        <v>38.236528673835132</v>
      </c>
      <c r="Z237" s="1">
        <v>0.48238827083360158</v>
      </c>
      <c r="AA237" s="1">
        <v>108.5400144927536</v>
      </c>
      <c r="AB237" s="1">
        <v>0.72717452902649793</v>
      </c>
      <c r="AC237" s="1">
        <v>32.832514976958521</v>
      </c>
    </row>
    <row r="238" spans="1:29" x14ac:dyDescent="0.2">
      <c r="A238" s="1" t="s">
        <v>933</v>
      </c>
      <c r="B238" s="1" t="str">
        <f t="shared" ca="1" si="3"/>
        <v>Open</v>
      </c>
      <c r="C238" s="1" t="s">
        <v>2770</v>
      </c>
      <c r="D238" s="1" t="s">
        <v>934</v>
      </c>
      <c r="E238" s="1" t="s">
        <v>935</v>
      </c>
      <c r="F238" s="1" t="s">
        <v>11</v>
      </c>
      <c r="G238" s="1" t="s">
        <v>936</v>
      </c>
      <c r="H238" s="24">
        <v>44762</v>
      </c>
      <c r="I238" s="1"/>
      <c r="J238" s="1">
        <v>47.915498999999997</v>
      </c>
      <c r="K238" s="1">
        <v>106.900164</v>
      </c>
      <c r="L238" s="20">
        <v>0.29166666666666669</v>
      </c>
      <c r="M238" s="20">
        <v>0.99930555555555556</v>
      </c>
      <c r="N238" s="1">
        <v>0.63922842627656218</v>
      </c>
      <c r="O238" s="1">
        <v>110.24291838556506</v>
      </c>
      <c r="P238" s="1">
        <v>1.0409295799835123</v>
      </c>
      <c r="Q238" s="1">
        <v>46.815772759856635</v>
      </c>
      <c r="R238" s="1">
        <v>0.625000529697056</v>
      </c>
      <c r="S238" s="1">
        <v>91.326806742640088</v>
      </c>
      <c r="T238" s="1">
        <v>0.87802264416917553</v>
      </c>
      <c r="U238" s="1">
        <v>44.864665232974893</v>
      </c>
      <c r="V238" s="1">
        <v>0.66098419261418784</v>
      </c>
      <c r="W238" s="1">
        <v>100.23166913580246</v>
      </c>
      <c r="X238" s="1">
        <v>0.99422082932616485</v>
      </c>
      <c r="Y238" s="1">
        <v>45.697209677419345</v>
      </c>
      <c r="Z238" s="1">
        <v>0.52369066519528629</v>
      </c>
      <c r="AA238" s="1">
        <v>94.889136363636382</v>
      </c>
      <c r="AB238" s="1">
        <v>0.79316851045583725</v>
      </c>
      <c r="AC238" s="1">
        <v>44.740481566820279</v>
      </c>
    </row>
    <row r="239" spans="1:29" x14ac:dyDescent="0.2">
      <c r="A239" s="1" t="s">
        <v>937</v>
      </c>
      <c r="B239" s="1" t="str">
        <f t="shared" ca="1" si="3"/>
        <v>Open</v>
      </c>
      <c r="C239" s="1" t="s">
        <v>2770</v>
      </c>
      <c r="D239" s="1" t="s">
        <v>938</v>
      </c>
      <c r="E239" s="1" t="s">
        <v>939</v>
      </c>
      <c r="F239" s="1" t="s">
        <v>64</v>
      </c>
      <c r="G239" s="1" t="s">
        <v>940</v>
      </c>
      <c r="H239" s="24">
        <v>45512</v>
      </c>
      <c r="I239" s="1"/>
      <c r="J239" s="1">
        <v>47.867978899999997</v>
      </c>
      <c r="K239" s="1">
        <v>106.838179</v>
      </c>
      <c r="L239" s="20">
        <v>0</v>
      </c>
      <c r="M239" s="20">
        <v>0.99930555555555556</v>
      </c>
      <c r="N239" s="1">
        <v>0.84862798091454916</v>
      </c>
      <c r="O239" s="1">
        <v>145.32668372269708</v>
      </c>
      <c r="P239" s="1">
        <v>1.1834369102175628</v>
      </c>
      <c r="Q239" s="1">
        <v>52.383144444444461</v>
      </c>
      <c r="R239" s="1">
        <v>0.73417331003608732</v>
      </c>
      <c r="S239" s="1">
        <v>110.85547103513773</v>
      </c>
      <c r="T239" s="1">
        <v>0.89030275760394251</v>
      </c>
      <c r="U239" s="1">
        <v>45.530126164874552</v>
      </c>
      <c r="V239" s="1">
        <v>0.94063718198364665</v>
      </c>
      <c r="W239" s="1">
        <v>148.44037563152895</v>
      </c>
      <c r="X239" s="1">
        <v>0.98051374371720446</v>
      </c>
      <c r="Y239" s="1">
        <v>51.835652329749102</v>
      </c>
      <c r="Z239" s="1">
        <v>0.59154782884111634</v>
      </c>
      <c r="AA239" s="1">
        <v>110.68320880300591</v>
      </c>
      <c r="AB239" s="1">
        <v>0.74178321068049158</v>
      </c>
      <c r="AC239" s="1">
        <v>37.331856374807991</v>
      </c>
    </row>
    <row r="240" spans="1:29" x14ac:dyDescent="0.2">
      <c r="A240" s="1" t="s">
        <v>941</v>
      </c>
      <c r="B240" s="1" t="str">
        <f t="shared" ca="1" si="3"/>
        <v>Open</v>
      </c>
      <c r="C240" s="1" t="s">
        <v>2770</v>
      </c>
      <c r="D240" s="1" t="s">
        <v>942</v>
      </c>
      <c r="E240" s="1" t="s">
        <v>943</v>
      </c>
      <c r="F240" s="1" t="s">
        <v>64</v>
      </c>
      <c r="G240" s="1" t="s">
        <v>944</v>
      </c>
      <c r="H240" s="24">
        <v>44764</v>
      </c>
      <c r="I240" s="1"/>
      <c r="J240" s="1">
        <v>47.898698000000003</v>
      </c>
      <c r="K240" s="1">
        <v>106.897915</v>
      </c>
      <c r="L240" s="20">
        <v>0</v>
      </c>
      <c r="M240" s="20">
        <v>0.99930555555555556</v>
      </c>
      <c r="N240" s="1">
        <v>0.63918910530647655</v>
      </c>
      <c r="O240" s="1">
        <v>121.10900710351376</v>
      </c>
      <c r="P240" s="1">
        <v>0.62989780066200718</v>
      </c>
      <c r="Q240" s="1">
        <v>36.872732974910399</v>
      </c>
      <c r="R240" s="1">
        <v>0.73295091461206086</v>
      </c>
      <c r="S240" s="1">
        <v>119.05032383665717</v>
      </c>
      <c r="T240" s="1">
        <v>0.81319048668136207</v>
      </c>
      <c r="U240" s="1">
        <v>50.031888172043004</v>
      </c>
      <c r="V240" s="1">
        <v>0.71142615819075028</v>
      </c>
      <c r="W240" s="1">
        <v>123.71948001899334</v>
      </c>
      <c r="X240" s="1">
        <v>0.81006494373010751</v>
      </c>
      <c r="Y240" s="1">
        <v>42.527645519713268</v>
      </c>
      <c r="Z240" s="1">
        <v>0.46519923299194849</v>
      </c>
      <c r="AA240" s="1">
        <v>91.164659688674192</v>
      </c>
      <c r="AB240" s="1">
        <v>0.56668601274462371</v>
      </c>
      <c r="AC240" s="1">
        <v>42.696980798771108</v>
      </c>
    </row>
    <row r="241" spans="1:29" x14ac:dyDescent="0.2">
      <c r="A241" s="1" t="s">
        <v>945</v>
      </c>
      <c r="B241" s="1" t="str">
        <f t="shared" ca="1" si="3"/>
        <v>Open</v>
      </c>
      <c r="C241" s="1" t="s">
        <v>2770</v>
      </c>
      <c r="D241" s="1" t="s">
        <v>946</v>
      </c>
      <c r="E241" s="1" t="s">
        <v>947</v>
      </c>
      <c r="F241" s="1" t="s">
        <v>145</v>
      </c>
      <c r="G241" s="1" t="s">
        <v>948</v>
      </c>
      <c r="H241" s="24">
        <v>44765</v>
      </c>
      <c r="I241" s="1"/>
      <c r="J241" s="1">
        <v>47.906536000000003</v>
      </c>
      <c r="K241" s="1">
        <v>106.770867</v>
      </c>
      <c r="L241" s="20">
        <v>0</v>
      </c>
      <c r="M241" s="20">
        <v>0.99930555555555556</v>
      </c>
      <c r="N241" s="1">
        <v>0.70087889331652409</v>
      </c>
      <c r="O241" s="1">
        <v>90.658886229819572</v>
      </c>
      <c r="P241" s="1">
        <v>0.67774234112437259</v>
      </c>
      <c r="Q241" s="1">
        <v>34.613472759856627</v>
      </c>
      <c r="R241" s="1">
        <v>0.7726752806153846</v>
      </c>
      <c r="S241" s="1">
        <v>74.787016619183277</v>
      </c>
      <c r="T241" s="1">
        <v>0.71077599328637986</v>
      </c>
      <c r="U241" s="1">
        <v>36.357100000000003</v>
      </c>
      <c r="V241" s="1">
        <v>1.0299905243012344</v>
      </c>
      <c r="W241" s="1">
        <v>96.392506210826241</v>
      </c>
      <c r="X241" s="1">
        <v>0.92850247507813621</v>
      </c>
      <c r="Y241" s="1">
        <v>48.627591397849464</v>
      </c>
      <c r="Z241" s="1">
        <v>0.62866543261782082</v>
      </c>
      <c r="AA241" s="1">
        <v>84.780025764895342</v>
      </c>
      <c r="AB241" s="1">
        <v>0.57884589829454702</v>
      </c>
      <c r="AC241" s="1">
        <v>34.996642857142852</v>
      </c>
    </row>
    <row r="242" spans="1:29" x14ac:dyDescent="0.2">
      <c r="A242" s="1" t="s">
        <v>949</v>
      </c>
      <c r="B242" s="1" t="str">
        <f t="shared" ca="1" si="3"/>
        <v>Open</v>
      </c>
      <c r="C242" s="1" t="s">
        <v>2770</v>
      </c>
      <c r="D242" s="1" t="s">
        <v>950</v>
      </c>
      <c r="E242" s="1" t="s">
        <v>951</v>
      </c>
      <c r="F242" s="1" t="s">
        <v>48</v>
      </c>
      <c r="G242" s="1" t="s">
        <v>952</v>
      </c>
      <c r="H242" s="24">
        <v>44768</v>
      </c>
      <c r="I242" s="1"/>
      <c r="J242" s="1">
        <v>47.913637000000001</v>
      </c>
      <c r="K242" s="1">
        <v>106.976845</v>
      </c>
      <c r="L242" s="20">
        <v>0</v>
      </c>
      <c r="M242" s="20">
        <v>0.99930555555555556</v>
      </c>
      <c r="N242" s="1">
        <v>0.32618962303492877</v>
      </c>
      <c r="O242" s="1">
        <v>51.700434150047471</v>
      </c>
      <c r="P242" s="1">
        <v>0.28115657577706094</v>
      </c>
      <c r="Q242" s="1">
        <v>20.21019605734767</v>
      </c>
      <c r="R242" s="1">
        <v>0.24669655734235518</v>
      </c>
      <c r="S242" s="1">
        <v>30.765918803418803</v>
      </c>
      <c r="T242" s="1">
        <v>0.23712654270967734</v>
      </c>
      <c r="U242" s="1">
        <v>18.005796415770611</v>
      </c>
      <c r="V242" s="1">
        <v>0.37516200838235508</v>
      </c>
      <c r="W242" s="1">
        <v>45.348938442545112</v>
      </c>
      <c r="X242" s="1">
        <v>0.28869290043369183</v>
      </c>
      <c r="Y242" s="1">
        <v>21.194552329749104</v>
      </c>
      <c r="Z242" s="1">
        <v>0.20722936975028058</v>
      </c>
      <c r="AA242" s="1">
        <v>34.88759371492705</v>
      </c>
      <c r="AB242" s="1">
        <v>0.17940487589823351</v>
      </c>
      <c r="AC242" s="1">
        <v>13.823078725038402</v>
      </c>
    </row>
    <row r="243" spans="1:29" x14ac:dyDescent="0.2">
      <c r="A243" s="1" t="s">
        <v>953</v>
      </c>
      <c r="B243" s="1" t="str">
        <f t="shared" ca="1" si="3"/>
        <v>Open</v>
      </c>
      <c r="C243" s="1" t="s">
        <v>2770</v>
      </c>
      <c r="D243" s="1" t="s">
        <v>954</v>
      </c>
      <c r="E243" s="1" t="s">
        <v>955</v>
      </c>
      <c r="F243" s="1" t="s">
        <v>33</v>
      </c>
      <c r="G243" s="1" t="s">
        <v>956</v>
      </c>
      <c r="H243" s="24">
        <v>44765</v>
      </c>
      <c r="I243" s="1"/>
      <c r="J243" s="1">
        <v>47.938783999999998</v>
      </c>
      <c r="K243" s="1">
        <v>106.90665199999999</v>
      </c>
      <c r="L243" s="20">
        <v>0</v>
      </c>
      <c r="M243" s="20">
        <v>0.99930555555555556</v>
      </c>
      <c r="N243" s="1">
        <v>0.20843278620564101</v>
      </c>
      <c r="O243" s="1">
        <v>22.589176505223175</v>
      </c>
      <c r="P243" s="1">
        <v>0.40382307336467677</v>
      </c>
      <c r="Q243" s="1">
        <v>15.593909504387588</v>
      </c>
      <c r="R243" s="1">
        <v>0.22713375329012345</v>
      </c>
      <c r="S243" s="1">
        <v>20.032524216524216</v>
      </c>
      <c r="T243" s="1">
        <v>0.27042130220207627</v>
      </c>
      <c r="U243" s="1">
        <v>15.740700037078236</v>
      </c>
      <c r="V243" s="1">
        <v>0.27122470419230771</v>
      </c>
      <c r="W243" s="1">
        <v>28.684080436847101</v>
      </c>
      <c r="X243" s="1">
        <v>0.4743476040709676</v>
      </c>
      <c r="Y243" s="1">
        <v>17.201982437275984</v>
      </c>
      <c r="Z243" s="1">
        <v>0.18854334236768655</v>
      </c>
      <c r="AA243" s="1">
        <v>23.351049919484705</v>
      </c>
      <c r="AB243" s="1">
        <v>0.33519109099958655</v>
      </c>
      <c r="AC243" s="1">
        <v>14.256338296112489</v>
      </c>
    </row>
    <row r="244" spans="1:29" x14ac:dyDescent="0.2">
      <c r="A244" s="1" t="s">
        <v>957</v>
      </c>
      <c r="B244" s="1" t="str">
        <f t="shared" ca="1" si="3"/>
        <v>Closed</v>
      </c>
      <c r="C244" s="1" t="s">
        <v>2770</v>
      </c>
      <c r="D244" s="1" t="s">
        <v>958</v>
      </c>
      <c r="E244" s="1" t="s">
        <v>959</v>
      </c>
      <c r="F244" s="1" t="s">
        <v>11</v>
      </c>
      <c r="G244" s="1" t="s">
        <v>960</v>
      </c>
      <c r="H244" s="24">
        <v>44765</v>
      </c>
      <c r="I244" s="24">
        <v>45433</v>
      </c>
      <c r="J244" s="1">
        <v>47.975710999999997</v>
      </c>
      <c r="K244" s="1">
        <v>106.91988600000001</v>
      </c>
      <c r="L244" s="20">
        <v>0</v>
      </c>
      <c r="M244" s="20">
        <v>0.99930555555555556</v>
      </c>
      <c r="N244" s="1">
        <v>0.73639092957822683</v>
      </c>
      <c r="O244" s="1">
        <v>120.83034189340572</v>
      </c>
      <c r="P244" s="1">
        <v>1.0305683280225519</v>
      </c>
      <c r="Q244" s="1">
        <v>50.741335744455974</v>
      </c>
      <c r="R244" s="1">
        <v>0.77505565528977927</v>
      </c>
      <c r="S244" s="1">
        <v>110.38798636394478</v>
      </c>
      <c r="T244" s="1">
        <v>0.95323771147676561</v>
      </c>
      <c r="U244" s="1">
        <v>50.072527276006774</v>
      </c>
      <c r="V244" s="1">
        <v>0.92053739661526512</v>
      </c>
      <c r="W244" s="1">
        <v>133.18199833686319</v>
      </c>
      <c r="X244" s="1">
        <v>1.0622171211785376</v>
      </c>
      <c r="Y244" s="1">
        <v>52.728527320208435</v>
      </c>
      <c r="Z244" s="1">
        <v>0.61668712407906823</v>
      </c>
      <c r="AA244" s="1">
        <v>111.42882484304808</v>
      </c>
      <c r="AB244" s="1">
        <v>0.75426453629546997</v>
      </c>
      <c r="AC244" s="1">
        <v>41.5584292989384</v>
      </c>
    </row>
    <row r="245" spans="1:29" x14ac:dyDescent="0.2">
      <c r="A245" s="1" t="s">
        <v>961</v>
      </c>
      <c r="B245" s="1" t="str">
        <f t="shared" ca="1" si="3"/>
        <v>Open</v>
      </c>
      <c r="C245" s="1" t="s">
        <v>2770</v>
      </c>
      <c r="D245" s="1" t="s">
        <v>962</v>
      </c>
      <c r="E245" s="1" t="s">
        <v>963</v>
      </c>
      <c r="F245" s="1" t="s">
        <v>64</v>
      </c>
      <c r="G245" s="1" t="s">
        <v>964</v>
      </c>
      <c r="H245" s="24">
        <v>44780</v>
      </c>
      <c r="I245" s="1"/>
      <c r="J245" s="1">
        <v>47.891134999999998</v>
      </c>
      <c r="K245" s="1">
        <v>106.936121</v>
      </c>
      <c r="L245" s="20">
        <v>0.29166666666666669</v>
      </c>
      <c r="M245" s="20">
        <v>0.99930555555555556</v>
      </c>
      <c r="N245" s="1">
        <v>0.71859515296609688</v>
      </c>
      <c r="O245" s="1">
        <v>116.78643407407408</v>
      </c>
      <c r="P245" s="1">
        <v>2.6602433378555563</v>
      </c>
      <c r="Q245" s="1">
        <v>49.317455555555561</v>
      </c>
      <c r="R245" s="1">
        <v>0.74203826397625827</v>
      </c>
      <c r="S245" s="1">
        <v>112.20966856600192</v>
      </c>
      <c r="T245" s="1">
        <v>2.2978555866437271</v>
      </c>
      <c r="U245" s="1">
        <v>49.328303942652333</v>
      </c>
      <c r="V245" s="1">
        <v>0.87315008993375098</v>
      </c>
      <c r="W245" s="1">
        <v>137.64184704653371</v>
      </c>
      <c r="X245" s="1">
        <v>2.5771835951007165</v>
      </c>
      <c r="Y245" s="1">
        <v>52.75646845878137</v>
      </c>
      <c r="Z245" s="1">
        <v>0.66148221946162111</v>
      </c>
      <c r="AA245" s="1">
        <v>116.67718089103596</v>
      </c>
      <c r="AB245" s="1">
        <v>2.5325107922296466</v>
      </c>
      <c r="AC245" s="1">
        <v>45.480199308755772</v>
      </c>
    </row>
    <row r="246" spans="1:29" x14ac:dyDescent="0.2">
      <c r="A246" s="1" t="s">
        <v>965</v>
      </c>
      <c r="B246" s="1" t="str">
        <f t="shared" ca="1" si="3"/>
        <v>Closed</v>
      </c>
      <c r="C246" s="1" t="s">
        <v>2770</v>
      </c>
      <c r="D246" s="1" t="s">
        <v>966</v>
      </c>
      <c r="E246" s="1" t="s">
        <v>967</v>
      </c>
      <c r="F246" s="1" t="s">
        <v>11</v>
      </c>
      <c r="G246" s="1" t="s">
        <v>968</v>
      </c>
      <c r="H246" s="24">
        <v>44967</v>
      </c>
      <c r="I246" s="24">
        <v>46027</v>
      </c>
      <c r="J246" s="1">
        <v>47.928750999999998</v>
      </c>
      <c r="K246" s="1">
        <v>106.921589</v>
      </c>
      <c r="L246" s="20">
        <v>0</v>
      </c>
      <c r="M246" s="20">
        <v>0.99930555555555556</v>
      </c>
      <c r="N246" s="1">
        <v>0.3595203054559592</v>
      </c>
      <c r="O246" s="1">
        <v>60.081196818613471</v>
      </c>
      <c r="P246" s="1">
        <v>0.44268441577204304</v>
      </c>
      <c r="Q246" s="1">
        <v>23.946809677419356</v>
      </c>
      <c r="R246" s="1">
        <v>0.46267201911616701</v>
      </c>
      <c r="S246" s="1">
        <v>69.777466596750116</v>
      </c>
      <c r="T246" s="1">
        <v>0.53320551859830279</v>
      </c>
      <c r="U246" s="1">
        <v>29.905409581995631</v>
      </c>
      <c r="V246" s="1">
        <v>0.3275888369741215</v>
      </c>
      <c r="W246" s="1">
        <v>54.856912867996193</v>
      </c>
      <c r="X246" s="1">
        <v>0.32157488624946245</v>
      </c>
      <c r="Y246" s="1">
        <v>19.704324014336919</v>
      </c>
      <c r="Z246" s="1">
        <v>0.30047798951021226</v>
      </c>
      <c r="AA246" s="1">
        <v>50.719473340814488</v>
      </c>
      <c r="AB246" s="1">
        <v>0.39492186715370853</v>
      </c>
      <c r="AC246" s="1">
        <v>22.614349679395247</v>
      </c>
    </row>
    <row r="247" spans="1:29" x14ac:dyDescent="0.2">
      <c r="A247" s="1" t="s">
        <v>969</v>
      </c>
      <c r="B247" s="1" t="str">
        <f t="shared" ca="1" si="3"/>
        <v>Open</v>
      </c>
      <c r="C247" s="1" t="s">
        <v>2770</v>
      </c>
      <c r="D247" s="1" t="s">
        <v>970</v>
      </c>
      <c r="E247" s="1" t="s">
        <v>971</v>
      </c>
      <c r="F247" s="1" t="s">
        <v>841</v>
      </c>
      <c r="G247" s="1" t="s">
        <v>972</v>
      </c>
      <c r="H247" s="24">
        <v>44773</v>
      </c>
      <c r="I247" s="1"/>
      <c r="J247" s="1">
        <v>47.777470999999998</v>
      </c>
      <c r="K247" s="1">
        <v>107.24906799999999</v>
      </c>
      <c r="L247" s="20">
        <v>0</v>
      </c>
      <c r="M247" s="20">
        <v>0.99930555555555556</v>
      </c>
      <c r="N247" s="1">
        <v>0.39667073560564098</v>
      </c>
      <c r="O247" s="1">
        <v>52.2045635897436</v>
      </c>
      <c r="P247" s="1">
        <v>0.3428397354924731</v>
      </c>
      <c r="Q247" s="1">
        <v>19.36326021505376</v>
      </c>
      <c r="R247" s="1">
        <v>0.41155065073551755</v>
      </c>
      <c r="S247" s="1">
        <v>48.120943969610629</v>
      </c>
      <c r="T247" s="1">
        <v>0.43677273340931883</v>
      </c>
      <c r="U247" s="1">
        <v>21.580386379928314</v>
      </c>
      <c r="V247" s="1">
        <v>0.54763285825530872</v>
      </c>
      <c r="W247" s="1">
        <v>62.802915555555558</v>
      </c>
      <c r="X247" s="1">
        <v>0.49521799635806452</v>
      </c>
      <c r="Y247" s="1">
        <v>24.357001075268816</v>
      </c>
      <c r="Z247" s="1">
        <v>0.32287958230359148</v>
      </c>
      <c r="AA247" s="1">
        <v>48.751203703703702</v>
      </c>
      <c r="AB247" s="1">
        <v>0.28570481969047617</v>
      </c>
      <c r="AC247" s="1">
        <v>16.323293778801844</v>
      </c>
    </row>
    <row r="248" spans="1:29" x14ac:dyDescent="0.2">
      <c r="A248" s="1" t="s">
        <v>973</v>
      </c>
      <c r="B248" s="1" t="str">
        <f t="shared" ca="1" si="3"/>
        <v>Open</v>
      </c>
      <c r="C248" s="1" t="s">
        <v>2770</v>
      </c>
      <c r="D248" s="1" t="s">
        <v>974</v>
      </c>
      <c r="E248" s="1" t="s">
        <v>975</v>
      </c>
      <c r="F248" s="1" t="s">
        <v>145</v>
      </c>
      <c r="G248" s="1" t="s">
        <v>976</v>
      </c>
      <c r="H248" s="24">
        <v>44779</v>
      </c>
      <c r="I248" s="1"/>
      <c r="J248" s="1">
        <v>47.880718999999999</v>
      </c>
      <c r="K248" s="1">
        <v>106.599773</v>
      </c>
      <c r="L248" s="20">
        <v>0</v>
      </c>
      <c r="M248" s="20">
        <v>0.99930555555555556</v>
      </c>
      <c r="N248" s="1">
        <v>0.73467017544735036</v>
      </c>
      <c r="O248" s="1">
        <v>92.695083950617274</v>
      </c>
      <c r="P248" s="1">
        <v>0.65347651619103952</v>
      </c>
      <c r="Q248" s="1">
        <v>44.72571254480286</v>
      </c>
      <c r="R248" s="1">
        <v>0.50958275471889836</v>
      </c>
      <c r="S248" s="1">
        <v>59.970537511870852</v>
      </c>
      <c r="T248" s="1">
        <v>0.44895777641326168</v>
      </c>
      <c r="U248" s="1">
        <v>30.22573297491039</v>
      </c>
      <c r="V248" s="1">
        <v>1.2787703396898384</v>
      </c>
      <c r="W248" s="1">
        <v>130.6968184045584</v>
      </c>
      <c r="X248" s="1">
        <v>0.94569332762724034</v>
      </c>
      <c r="Y248" s="1">
        <v>66.120825089605731</v>
      </c>
      <c r="Z248" s="1">
        <v>0.52048877762855617</v>
      </c>
      <c r="AA248" s="1">
        <v>77.571778314546449</v>
      </c>
      <c r="AB248" s="1">
        <v>0.41643679250115206</v>
      </c>
      <c r="AC248" s="1">
        <v>33.024016129032255</v>
      </c>
    </row>
    <row r="249" spans="1:29" x14ac:dyDescent="0.2">
      <c r="A249" s="1" t="s">
        <v>977</v>
      </c>
      <c r="B249" s="1" t="str">
        <f t="shared" ca="1" si="3"/>
        <v>Open</v>
      </c>
      <c r="C249" s="1" t="s">
        <v>2770</v>
      </c>
      <c r="D249" s="1" t="s">
        <v>978</v>
      </c>
      <c r="E249" s="1" t="s">
        <v>979</v>
      </c>
      <c r="F249" s="1" t="s">
        <v>28</v>
      </c>
      <c r="G249" s="1" t="s">
        <v>980</v>
      </c>
      <c r="H249" s="24">
        <v>44780</v>
      </c>
      <c r="I249" s="1"/>
      <c r="J249" s="1">
        <v>47.912689</v>
      </c>
      <c r="K249" s="1">
        <v>106.882479</v>
      </c>
      <c r="L249" s="20">
        <v>0.29166666666666669</v>
      </c>
      <c r="M249" s="20">
        <v>0.99930555555555556</v>
      </c>
      <c r="N249" s="1">
        <v>0.52780894938672362</v>
      </c>
      <c r="O249" s="1">
        <v>84.972207882241193</v>
      </c>
      <c r="P249" s="1">
        <v>0.93054617843512555</v>
      </c>
      <c r="Q249" s="1">
        <v>47.194956630824379</v>
      </c>
      <c r="R249" s="1">
        <v>0.5003986338494778</v>
      </c>
      <c r="S249" s="1">
        <v>72.027177113010438</v>
      </c>
      <c r="T249" s="1">
        <v>0.85000038763763419</v>
      </c>
      <c r="U249" s="1">
        <v>52.217269534050182</v>
      </c>
      <c r="V249" s="1">
        <v>0.41552776859646717</v>
      </c>
      <c r="W249" s="1">
        <v>66.586016201329542</v>
      </c>
      <c r="X249" s="1">
        <v>0.63392776681075258</v>
      </c>
      <c r="Y249" s="1">
        <v>29.880807885304662</v>
      </c>
      <c r="Z249" s="1">
        <v>0.40893864601986057</v>
      </c>
      <c r="AA249" s="1">
        <v>69.680556629092862</v>
      </c>
      <c r="AB249" s="1">
        <v>0.55669683571724404</v>
      </c>
      <c r="AC249" s="1">
        <v>36.850716447630418</v>
      </c>
    </row>
    <row r="250" spans="1:29" x14ac:dyDescent="0.2">
      <c r="A250" s="1" t="s">
        <v>981</v>
      </c>
      <c r="B250" s="1" t="str">
        <f t="shared" ca="1" si="3"/>
        <v>Open</v>
      </c>
      <c r="C250" s="1" t="s">
        <v>2770</v>
      </c>
      <c r="D250" s="1" t="s">
        <v>982</v>
      </c>
      <c r="E250" s="1" t="s">
        <v>983</v>
      </c>
      <c r="F250" s="1" t="s">
        <v>48</v>
      </c>
      <c r="G250" s="1" t="s">
        <v>984</v>
      </c>
      <c r="H250" s="24">
        <v>44780</v>
      </c>
      <c r="I250" s="1"/>
      <c r="J250" s="1">
        <v>47.916927000000001</v>
      </c>
      <c r="K250" s="1">
        <v>106.963465</v>
      </c>
      <c r="L250" s="20">
        <v>0</v>
      </c>
      <c r="M250" s="20">
        <v>0.99930555555555556</v>
      </c>
      <c r="N250" s="1">
        <v>1.2340201921330545</v>
      </c>
      <c r="O250" s="1">
        <v>233.22926589371983</v>
      </c>
      <c r="P250" s="1">
        <v>1.4592668019580646</v>
      </c>
      <c r="Q250" s="1">
        <v>74.344635483870931</v>
      </c>
      <c r="R250" s="1">
        <v>1.1939715855949669</v>
      </c>
      <c r="S250" s="1">
        <v>167.27955080721748</v>
      </c>
      <c r="T250" s="1">
        <v>1.4391775779752685</v>
      </c>
      <c r="U250" s="1">
        <v>62.139510035842306</v>
      </c>
      <c r="V250" s="1">
        <v>1.2569486294020511</v>
      </c>
      <c r="W250" s="1">
        <v>195.86927701804368</v>
      </c>
      <c r="X250" s="1">
        <v>1.4545165605899639</v>
      </c>
      <c r="Y250" s="1">
        <v>68.818180286738354</v>
      </c>
      <c r="Z250" s="1">
        <v>1.1035803720993267</v>
      </c>
      <c r="AA250" s="1">
        <v>221.74006453423121</v>
      </c>
      <c r="AB250" s="1">
        <v>1.2947056490994624</v>
      </c>
      <c r="AC250" s="1">
        <v>61.137304147465443</v>
      </c>
    </row>
    <row r="251" spans="1:29" x14ac:dyDescent="0.2">
      <c r="A251" s="1" t="s">
        <v>985</v>
      </c>
      <c r="B251" s="1" t="str">
        <f t="shared" ca="1" si="3"/>
        <v>Open</v>
      </c>
      <c r="C251" s="1" t="s">
        <v>2770</v>
      </c>
      <c r="D251" s="1" t="s">
        <v>986</v>
      </c>
      <c r="E251" s="1" t="s">
        <v>987</v>
      </c>
      <c r="F251" s="1" t="s">
        <v>48</v>
      </c>
      <c r="G251" s="1" t="s">
        <v>2652</v>
      </c>
      <c r="H251" s="24">
        <v>44780</v>
      </c>
      <c r="I251" s="1"/>
      <c r="J251" s="1">
        <v>47.911707999999997</v>
      </c>
      <c r="K251" s="1">
        <v>106.995594</v>
      </c>
      <c r="L251" s="20">
        <v>0.29166666666666669</v>
      </c>
      <c r="M251" s="20">
        <v>0.91666666666666663</v>
      </c>
      <c r="N251" s="1">
        <v>0.66023867124465341</v>
      </c>
      <c r="O251" s="1">
        <v>130.47195589743595</v>
      </c>
      <c r="P251" s="1">
        <v>0.94265290990761352</v>
      </c>
      <c r="Q251" s="1">
        <v>78.477339179335061</v>
      </c>
      <c r="R251" s="1">
        <v>0.66902046142402638</v>
      </c>
      <c r="S251" s="1">
        <v>127.44402279202275</v>
      </c>
      <c r="T251" s="1">
        <v>0.89596733246344062</v>
      </c>
      <c r="U251" s="1">
        <v>80.107936917562711</v>
      </c>
      <c r="V251" s="1">
        <v>0.59880129408182359</v>
      </c>
      <c r="W251" s="1">
        <v>111.74974074074073</v>
      </c>
      <c r="X251" s="1">
        <v>0.84040856165125444</v>
      </c>
      <c r="Y251" s="1">
        <v>70.465295307917913</v>
      </c>
      <c r="Z251" s="1">
        <v>0.59998342195002707</v>
      </c>
      <c r="AA251" s="1">
        <v>123.59787148896265</v>
      </c>
      <c r="AB251" s="1">
        <v>0.78080443223973006</v>
      </c>
      <c r="AC251" s="1">
        <v>66.001054577842083</v>
      </c>
    </row>
    <row r="252" spans="1:29" x14ac:dyDescent="0.2">
      <c r="A252" s="1" t="s">
        <v>988</v>
      </c>
      <c r="B252" s="1" t="str">
        <f t="shared" ca="1" si="3"/>
        <v>Open</v>
      </c>
      <c r="C252" s="1" t="s">
        <v>2770</v>
      </c>
      <c r="D252" s="1" t="s">
        <v>989</v>
      </c>
      <c r="E252" s="1" t="s">
        <v>990</v>
      </c>
      <c r="F252" s="1" t="s">
        <v>11</v>
      </c>
      <c r="G252" s="1" t="s">
        <v>991</v>
      </c>
      <c r="H252" s="24">
        <v>44792</v>
      </c>
      <c r="I252" s="1"/>
      <c r="J252" s="1">
        <v>47.913007999999998</v>
      </c>
      <c r="K252" s="1">
        <v>106.90170000000001</v>
      </c>
      <c r="L252" s="20">
        <v>0</v>
      </c>
      <c r="M252" s="20">
        <v>0.99930555555555556</v>
      </c>
      <c r="N252" s="1">
        <v>1.0973505768675023</v>
      </c>
      <c r="O252" s="1">
        <v>192.52462564102566</v>
      </c>
      <c r="P252" s="1">
        <v>1.2332003544734766</v>
      </c>
      <c r="Q252" s="1">
        <v>72.354926523297493</v>
      </c>
      <c r="R252" s="1">
        <v>1.0960236777497625</v>
      </c>
      <c r="S252" s="1">
        <v>185.37541120607787</v>
      </c>
      <c r="T252" s="1">
        <v>0.86751276598243721</v>
      </c>
      <c r="U252" s="1">
        <v>67.993798566308229</v>
      </c>
      <c r="V252" s="1">
        <v>1.3921228070850331</v>
      </c>
      <c r="W252" s="1">
        <v>262.06445259259266</v>
      </c>
      <c r="X252" s="1">
        <v>0.94338308904408619</v>
      </c>
      <c r="Y252" s="1">
        <v>66.068509677419357</v>
      </c>
      <c r="Z252" s="1">
        <v>0.77600663977039608</v>
      </c>
      <c r="AA252" s="1">
        <v>152.669034965035</v>
      </c>
      <c r="AB252" s="1">
        <v>0.79676967244738839</v>
      </c>
      <c r="AC252" s="1">
        <v>50.761226190476187</v>
      </c>
    </row>
    <row r="253" spans="1:29" x14ac:dyDescent="0.2">
      <c r="A253" s="1" t="s">
        <v>992</v>
      </c>
      <c r="B253" s="1" t="str">
        <f t="shared" ca="1" si="3"/>
        <v>Open</v>
      </c>
      <c r="C253" s="1" t="s">
        <v>2770</v>
      </c>
      <c r="D253" s="1" t="s">
        <v>993</v>
      </c>
      <c r="E253" s="1" t="s">
        <v>994</v>
      </c>
      <c r="F253" s="1" t="s">
        <v>28</v>
      </c>
      <c r="G253" s="1" t="s">
        <v>995</v>
      </c>
      <c r="H253" s="24">
        <v>44792</v>
      </c>
      <c r="I253" s="1"/>
      <c r="J253" s="1">
        <v>47.912350000000004</v>
      </c>
      <c r="K253" s="1">
        <v>106.85346199999999</v>
      </c>
      <c r="L253" s="20">
        <v>0</v>
      </c>
      <c r="M253" s="20">
        <v>0.99930555555555556</v>
      </c>
      <c r="N253" s="1">
        <v>0.95478254659261175</v>
      </c>
      <c r="O253" s="1">
        <v>192.10878790123454</v>
      </c>
      <c r="P253" s="1">
        <v>0.74424949325842293</v>
      </c>
      <c r="Q253" s="1">
        <v>47.955151612903215</v>
      </c>
      <c r="R253" s="1">
        <v>1.054549133968661</v>
      </c>
      <c r="S253" s="1">
        <v>166.84894681861348</v>
      </c>
      <c r="T253" s="1">
        <v>0.73907534297992827</v>
      </c>
      <c r="U253" s="1">
        <v>51.296594265232962</v>
      </c>
      <c r="V253" s="1">
        <v>1.1525844120565434</v>
      </c>
      <c r="W253" s="1">
        <v>177.01569249762585</v>
      </c>
      <c r="X253" s="1">
        <v>0.81271796168853039</v>
      </c>
      <c r="Y253" s="1">
        <v>48.438874910394276</v>
      </c>
      <c r="Z253" s="1">
        <v>0.74189346788271582</v>
      </c>
      <c r="AA253" s="1">
        <v>164.77170033670032</v>
      </c>
      <c r="AB253" s="1">
        <v>0.4957266866209678</v>
      </c>
      <c r="AC253" s="1">
        <v>38.229834485407061</v>
      </c>
    </row>
    <row r="254" spans="1:29" x14ac:dyDescent="0.2">
      <c r="A254" s="1" t="s">
        <v>996</v>
      </c>
      <c r="B254" s="1" t="str">
        <f t="shared" ca="1" si="3"/>
        <v>Closed</v>
      </c>
      <c r="C254" s="1" t="s">
        <v>2770</v>
      </c>
      <c r="D254" s="1" t="s">
        <v>997</v>
      </c>
      <c r="E254" s="1" t="s">
        <v>998</v>
      </c>
      <c r="F254" s="1" t="s">
        <v>48</v>
      </c>
      <c r="G254" s="1" t="s">
        <v>999</v>
      </c>
      <c r="H254" s="24">
        <v>44781</v>
      </c>
      <c r="I254" s="24">
        <v>45931</v>
      </c>
      <c r="J254" s="1">
        <v>47.920489000000003</v>
      </c>
      <c r="K254" s="1">
        <v>106.956256</v>
      </c>
      <c r="L254" s="20">
        <v>0.29166666666666669</v>
      </c>
      <c r="M254" s="20">
        <v>0.99930555555555556</v>
      </c>
      <c r="N254" s="1">
        <v>0.6419211573251703</v>
      </c>
      <c r="O254" s="1">
        <v>104.02252454799701</v>
      </c>
      <c r="P254" s="1">
        <v>1.0310763926615214</v>
      </c>
      <c r="Q254" s="1">
        <v>46.931458135704304</v>
      </c>
      <c r="R254" s="1">
        <v>0.52559271624152304</v>
      </c>
      <c r="S254" s="1">
        <v>75.911126520776705</v>
      </c>
      <c r="T254" s="1">
        <v>0.98714501171393298</v>
      </c>
      <c r="U254" s="1">
        <v>42.982984913147256</v>
      </c>
      <c r="V254" s="1">
        <v>0.46628395796761141</v>
      </c>
      <c r="W254" s="1">
        <v>62.916578947368414</v>
      </c>
      <c r="X254" s="1">
        <v>1.0877240200618283</v>
      </c>
      <c r="Y254" s="1">
        <v>39.405612007168457</v>
      </c>
      <c r="Z254" s="1">
        <v>0.61668712407906823</v>
      </c>
      <c r="AA254" s="1">
        <v>111.42882484304808</v>
      </c>
      <c r="AB254" s="1">
        <v>0.75426453629546997</v>
      </c>
      <c r="AC254" s="1">
        <v>41.5584292989384</v>
      </c>
    </row>
    <row r="255" spans="1:29" x14ac:dyDescent="0.2">
      <c r="A255" s="1" t="s">
        <v>1000</v>
      </c>
      <c r="B255" s="1" t="str">
        <f t="shared" ca="1" si="3"/>
        <v>Open</v>
      </c>
      <c r="C255" s="1" t="s">
        <v>2770</v>
      </c>
      <c r="D255" s="1" t="s">
        <v>1001</v>
      </c>
      <c r="E255" s="1" t="s">
        <v>1002</v>
      </c>
      <c r="F255" s="1" t="s">
        <v>64</v>
      </c>
      <c r="G255" s="1" t="s">
        <v>1003</v>
      </c>
      <c r="H255" s="24">
        <v>44801</v>
      </c>
      <c r="I255" s="1"/>
      <c r="J255" s="1">
        <v>47.901975999999998</v>
      </c>
      <c r="K255" s="1">
        <v>106.892257</v>
      </c>
      <c r="L255" s="20">
        <v>0</v>
      </c>
      <c r="M255" s="20">
        <v>0.99930555555555556</v>
      </c>
      <c r="N255" s="1">
        <v>0.80207103454328588</v>
      </c>
      <c r="O255" s="1">
        <v>130.80993791073124</v>
      </c>
      <c r="P255" s="1">
        <v>0.90316398852795687</v>
      </c>
      <c r="Q255" s="1">
        <v>51.079906093189955</v>
      </c>
      <c r="R255" s="1">
        <v>0.83735983754653365</v>
      </c>
      <c r="S255" s="1">
        <v>123.79759164292498</v>
      </c>
      <c r="T255" s="1">
        <v>0.8333665813099741</v>
      </c>
      <c r="U255" s="1">
        <v>51.692291064145344</v>
      </c>
      <c r="V255" s="1">
        <v>0.95950913842045582</v>
      </c>
      <c r="W255" s="1">
        <v>157.53731971509976</v>
      </c>
      <c r="X255" s="1">
        <v>1.0606881172283156</v>
      </c>
      <c r="Y255" s="1">
        <v>53.203784229390685</v>
      </c>
      <c r="Z255" s="1">
        <v>0.70552167450841752</v>
      </c>
      <c r="AA255" s="1">
        <v>135.31811784511785</v>
      </c>
      <c r="AB255" s="1">
        <v>0.59370926995698936</v>
      </c>
      <c r="AC255" s="1">
        <v>37.633636328725039</v>
      </c>
    </row>
    <row r="256" spans="1:29" x14ac:dyDescent="0.2">
      <c r="A256" s="1" t="s">
        <v>1004</v>
      </c>
      <c r="B256" s="1" t="str">
        <f t="shared" ca="1" si="3"/>
        <v>Open</v>
      </c>
      <c r="C256" s="1" t="s">
        <v>2770</v>
      </c>
      <c r="D256" s="1" t="s">
        <v>1005</v>
      </c>
      <c r="E256" s="1" t="s">
        <v>1006</v>
      </c>
      <c r="F256" s="1" t="s">
        <v>11</v>
      </c>
      <c r="G256" s="1" t="s">
        <v>1007</v>
      </c>
      <c r="H256" s="24">
        <v>44804</v>
      </c>
      <c r="I256" s="1"/>
      <c r="J256" s="1">
        <v>47.995760400000002</v>
      </c>
      <c r="K256" s="1">
        <v>106.96692299999999</v>
      </c>
      <c r="L256" s="20">
        <v>0</v>
      </c>
      <c r="M256" s="20">
        <v>0.99930555555555556</v>
      </c>
      <c r="N256" s="1">
        <v>0.54954288819088315</v>
      </c>
      <c r="O256" s="1">
        <v>107.82528226020895</v>
      </c>
      <c r="P256" s="1">
        <v>0.94275954285878116</v>
      </c>
      <c r="Q256" s="1">
        <v>40.216492114695335</v>
      </c>
      <c r="R256" s="1">
        <v>0.63898457241785378</v>
      </c>
      <c r="S256" s="1">
        <v>102.71403133903134</v>
      </c>
      <c r="T256" s="1">
        <v>0.81473069439175616</v>
      </c>
      <c r="U256" s="1">
        <v>42.953626523297487</v>
      </c>
      <c r="V256" s="1">
        <v>0.9518809018909401</v>
      </c>
      <c r="W256" s="1">
        <v>162.36390830009498</v>
      </c>
      <c r="X256" s="1">
        <v>1.2078233291724014</v>
      </c>
      <c r="Y256" s="1">
        <v>52.884464157706098</v>
      </c>
      <c r="Z256" s="1">
        <v>0.55057810306734012</v>
      </c>
      <c r="AA256" s="1">
        <v>131.84600336700339</v>
      </c>
      <c r="AB256" s="1">
        <v>0.75578283939055313</v>
      </c>
      <c r="AC256" s="1">
        <v>34.984197772657446</v>
      </c>
    </row>
    <row r="257" spans="1:29" x14ac:dyDescent="0.2">
      <c r="A257" s="1" t="s">
        <v>1008</v>
      </c>
      <c r="B257" s="1" t="str">
        <f t="shared" ca="1" si="3"/>
        <v>Closed</v>
      </c>
      <c r="C257" s="1" t="s">
        <v>2770</v>
      </c>
      <c r="D257" s="1" t="s">
        <v>1009</v>
      </c>
      <c r="E257" s="1" t="s">
        <v>1010</v>
      </c>
      <c r="F257" s="1" t="s">
        <v>64</v>
      </c>
      <c r="G257" s="1" t="s">
        <v>1011</v>
      </c>
      <c r="H257" s="24">
        <v>44803</v>
      </c>
      <c r="I257" s="24">
        <v>45308</v>
      </c>
      <c r="J257" s="1">
        <v>47.881115999999999</v>
      </c>
      <c r="K257" s="1">
        <v>106.922738</v>
      </c>
      <c r="L257" s="20">
        <v>0.29166666666666669</v>
      </c>
      <c r="M257" s="20">
        <v>0.99930555555555556</v>
      </c>
      <c r="N257" s="1">
        <v>0.73639092957822683</v>
      </c>
      <c r="O257" s="1">
        <v>120.83034189340572</v>
      </c>
      <c r="P257" s="1">
        <v>1.0305683280225519</v>
      </c>
      <c r="Q257" s="1">
        <v>50.741335744455974</v>
      </c>
      <c r="R257" s="1">
        <v>0.77505565528977927</v>
      </c>
      <c r="S257" s="1">
        <v>110.38798636394478</v>
      </c>
      <c r="T257" s="1">
        <v>0.95323771147676561</v>
      </c>
      <c r="U257" s="1">
        <v>50.072527276006774</v>
      </c>
      <c r="V257" s="1">
        <v>0.92053739661526512</v>
      </c>
      <c r="W257" s="1">
        <v>133.18199833686319</v>
      </c>
      <c r="X257" s="1">
        <v>1.0622171211785376</v>
      </c>
      <c r="Y257" s="1">
        <v>52.728527320208435</v>
      </c>
      <c r="Z257" s="1">
        <v>0.61668712407906823</v>
      </c>
      <c r="AA257" s="1">
        <v>111.42882484304808</v>
      </c>
      <c r="AB257" s="1">
        <v>0.75426453629546997</v>
      </c>
      <c r="AC257" s="1">
        <v>41.5584292989384</v>
      </c>
    </row>
    <row r="258" spans="1:29" x14ac:dyDescent="0.2">
      <c r="A258" s="1" t="s">
        <v>1012</v>
      </c>
      <c r="B258" s="1" t="str">
        <f t="shared" ca="1" si="3"/>
        <v>Open</v>
      </c>
      <c r="C258" s="1" t="s">
        <v>2770</v>
      </c>
      <c r="D258" s="1" t="s">
        <v>1013</v>
      </c>
      <c r="E258" s="1" t="s">
        <v>1014</v>
      </c>
      <c r="F258" s="1" t="s">
        <v>841</v>
      </c>
      <c r="G258" s="1" t="s">
        <v>1015</v>
      </c>
      <c r="H258" s="24">
        <v>44816</v>
      </c>
      <c r="I258" s="1"/>
      <c r="J258" s="1">
        <v>47.788263999999998</v>
      </c>
      <c r="K258" s="1">
        <v>107.250274</v>
      </c>
      <c r="L258" s="20">
        <v>0</v>
      </c>
      <c r="M258" s="20">
        <v>0.99930555555555556</v>
      </c>
      <c r="N258" s="1">
        <v>0.91783450608970096</v>
      </c>
      <c r="O258" s="1">
        <v>135.29920243589743</v>
      </c>
      <c r="P258" s="1">
        <v>0.72889254787383495</v>
      </c>
      <c r="Q258" s="1">
        <v>44.181001075268817</v>
      </c>
      <c r="R258" s="1">
        <v>1.0642964280920799</v>
      </c>
      <c r="S258" s="1">
        <v>135.66310788224121</v>
      </c>
      <c r="T258" s="1">
        <v>0.86904670636917558</v>
      </c>
      <c r="U258" s="1">
        <v>51.242085304659497</v>
      </c>
      <c r="V258" s="1">
        <v>1.6787841187841972</v>
      </c>
      <c r="W258" s="1">
        <v>209.3049491358025</v>
      </c>
      <c r="X258" s="1">
        <v>1.2881736746261654</v>
      </c>
      <c r="Y258" s="1">
        <v>74.845729032258063</v>
      </c>
      <c r="Z258" s="1">
        <v>0.80983094120098309</v>
      </c>
      <c r="AA258" s="1">
        <v>138.61908602564105</v>
      </c>
      <c r="AB258" s="1">
        <v>0.60394154505760356</v>
      </c>
      <c r="AC258" s="1">
        <v>38.109085637480803</v>
      </c>
    </row>
    <row r="259" spans="1:29" x14ac:dyDescent="0.2">
      <c r="A259" s="1" t="s">
        <v>1016</v>
      </c>
      <c r="B259" s="1" t="str">
        <f t="shared" ca="1" si="3"/>
        <v>Open</v>
      </c>
      <c r="C259" s="1" t="s">
        <v>2770</v>
      </c>
      <c r="D259" s="1" t="s">
        <v>1017</v>
      </c>
      <c r="E259" s="1" t="s">
        <v>1018</v>
      </c>
      <c r="F259" s="1" t="s">
        <v>11</v>
      </c>
      <c r="G259" s="1" t="s">
        <v>1019</v>
      </c>
      <c r="H259" s="24">
        <v>44798</v>
      </c>
      <c r="I259" s="1"/>
      <c r="J259" s="1">
        <v>47.908034000000001</v>
      </c>
      <c r="K259" s="1">
        <v>106.930615</v>
      </c>
      <c r="L259" s="20">
        <v>0</v>
      </c>
      <c r="M259" s="20">
        <v>0.99930555555555556</v>
      </c>
      <c r="N259" s="1">
        <v>1.2365035000958784</v>
      </c>
      <c r="O259" s="1">
        <v>217.67509910731243</v>
      </c>
      <c r="P259" s="1">
        <v>1.5705914067799285</v>
      </c>
      <c r="Q259" s="1">
        <v>69.402387096774177</v>
      </c>
      <c r="R259" s="1">
        <v>1.2810975146448242</v>
      </c>
      <c r="S259" s="1">
        <v>194.74050379867049</v>
      </c>
      <c r="T259" s="1">
        <v>1.4830296800265235</v>
      </c>
      <c r="U259" s="1">
        <v>62.855683512544793</v>
      </c>
      <c r="V259" s="1">
        <v>1.5155489875831147</v>
      </c>
      <c r="W259" s="1">
        <v>234.22247282051273</v>
      </c>
      <c r="X259" s="1">
        <v>1.531736956981004</v>
      </c>
      <c r="Y259" s="1">
        <v>74.58155519713263</v>
      </c>
      <c r="Z259" s="1">
        <v>1.0018627750810518</v>
      </c>
      <c r="AA259" s="1">
        <v>200.99822275899089</v>
      </c>
      <c r="AB259" s="1">
        <v>1.1566296468744242</v>
      </c>
      <c r="AC259" s="1">
        <v>64.099667050691238</v>
      </c>
    </row>
    <row r="260" spans="1:29" x14ac:dyDescent="0.2">
      <c r="A260" s="1" t="s">
        <v>1020</v>
      </c>
      <c r="B260" s="1" t="str">
        <f t="shared" ref="B260:B323" ca="1" si="4">IF(AND(NOT(ISBLANK(I260)), I260 &lt;= TODAY()), "Closed", IF(H260 &gt; TODAY(), "Will open in future", "Open"))</f>
        <v>Open</v>
      </c>
      <c r="C260" s="1" t="s">
        <v>2770</v>
      </c>
      <c r="D260" s="1" t="s">
        <v>1021</v>
      </c>
      <c r="E260" s="1" t="s">
        <v>1022</v>
      </c>
      <c r="F260" s="1" t="s">
        <v>64</v>
      </c>
      <c r="G260" s="1" t="s">
        <v>1023</v>
      </c>
      <c r="H260" s="24">
        <v>44991</v>
      </c>
      <c r="I260" s="1"/>
      <c r="J260" s="1">
        <v>47.863571</v>
      </c>
      <c r="K260" s="1">
        <v>106.83582199999999</v>
      </c>
      <c r="L260" s="20">
        <v>0</v>
      </c>
      <c r="M260" s="20">
        <v>0.99930555555555556</v>
      </c>
      <c r="N260" s="1">
        <v>0.67504303149019951</v>
      </c>
      <c r="O260" s="1">
        <v>119.13173813865149</v>
      </c>
      <c r="P260" s="1">
        <v>1.5788624866293903</v>
      </c>
      <c r="Q260" s="1">
        <v>57.273026881720433</v>
      </c>
      <c r="R260" s="1">
        <v>0.94569016788176619</v>
      </c>
      <c r="S260" s="1">
        <v>152.28608404558403</v>
      </c>
      <c r="T260" s="1">
        <v>1.3692173398175631</v>
      </c>
      <c r="U260" s="1">
        <v>58.390154838709691</v>
      </c>
      <c r="V260" s="1">
        <v>1.0617715428146248</v>
      </c>
      <c r="W260" s="1">
        <v>182.9233717568851</v>
      </c>
      <c r="X260" s="1">
        <v>1.5565043541207888</v>
      </c>
      <c r="Y260" s="1">
        <v>64.957626164874554</v>
      </c>
      <c r="Z260" s="1">
        <v>0.76558545985292537</v>
      </c>
      <c r="AA260" s="1">
        <v>161.47431776704244</v>
      </c>
      <c r="AB260" s="1">
        <v>1.0287518230449308</v>
      </c>
      <c r="AC260" s="1">
        <v>51.880379032258077</v>
      </c>
    </row>
    <row r="261" spans="1:29" x14ac:dyDescent="0.2">
      <c r="A261" s="1" t="s">
        <v>1024</v>
      </c>
      <c r="B261" s="1" t="str">
        <f t="shared" ca="1" si="4"/>
        <v>Open</v>
      </c>
      <c r="C261" s="1" t="s">
        <v>2770</v>
      </c>
      <c r="D261" s="1" t="s">
        <v>1025</v>
      </c>
      <c r="E261" s="1" t="s">
        <v>1026</v>
      </c>
      <c r="F261" s="1" t="s">
        <v>64</v>
      </c>
      <c r="G261" s="1" t="s">
        <v>1027</v>
      </c>
      <c r="H261" s="24">
        <v>44824</v>
      </c>
      <c r="I261" s="1"/>
      <c r="J261" s="1">
        <v>47.893416999999999</v>
      </c>
      <c r="K261" s="1">
        <v>106.88296699999999</v>
      </c>
      <c r="L261" s="20">
        <v>0.29166666666666669</v>
      </c>
      <c r="M261" s="20">
        <v>0.99930555555555556</v>
      </c>
      <c r="N261" s="1">
        <v>0.5960461618452042</v>
      </c>
      <c r="O261" s="1">
        <v>98.309525033238387</v>
      </c>
      <c r="P261" s="1">
        <v>1.1232594695318998</v>
      </c>
      <c r="Q261" s="1">
        <v>48.093962724014325</v>
      </c>
      <c r="R261" s="1">
        <v>0.55394541403751185</v>
      </c>
      <c r="S261" s="1">
        <v>78.506999525166194</v>
      </c>
      <c r="T261" s="1">
        <v>1.0387081251724015</v>
      </c>
      <c r="U261" s="1">
        <v>38.834211111111109</v>
      </c>
      <c r="V261" s="1">
        <v>0.65499898760112052</v>
      </c>
      <c r="W261" s="1">
        <v>84.03767857549856</v>
      </c>
      <c r="X261" s="1">
        <v>1.3197709524412187</v>
      </c>
      <c r="Y261" s="1">
        <v>48.201626523297485</v>
      </c>
      <c r="Z261" s="1">
        <v>0.48462190264758692</v>
      </c>
      <c r="AA261" s="1">
        <v>77.790840628507297</v>
      </c>
      <c r="AB261" s="1">
        <v>0.92963193264900157</v>
      </c>
      <c r="AC261" s="1">
        <v>36.853922427035336</v>
      </c>
    </row>
    <row r="262" spans="1:29" x14ac:dyDescent="0.2">
      <c r="A262" s="1" t="s">
        <v>1028</v>
      </c>
      <c r="B262" s="1" t="str">
        <f t="shared" ca="1" si="4"/>
        <v>Open</v>
      </c>
      <c r="C262" s="1" t="s">
        <v>2770</v>
      </c>
      <c r="D262" s="1" t="s">
        <v>1029</v>
      </c>
      <c r="E262" s="1" t="s">
        <v>1030</v>
      </c>
      <c r="F262" s="1" t="s">
        <v>145</v>
      </c>
      <c r="G262" s="1" t="s">
        <v>1031</v>
      </c>
      <c r="H262" s="24">
        <v>44831</v>
      </c>
      <c r="I262" s="1"/>
      <c r="J262" s="1">
        <v>47.913164000000002</v>
      </c>
      <c r="K262" s="1">
        <v>106.85257</v>
      </c>
      <c r="L262" s="20">
        <v>0</v>
      </c>
      <c r="M262" s="20">
        <v>0.99930555555555556</v>
      </c>
      <c r="N262" s="1">
        <v>1.1872105799505226</v>
      </c>
      <c r="O262" s="1">
        <v>203.54353021842357</v>
      </c>
      <c r="P262" s="1">
        <v>0.86421236817903846</v>
      </c>
      <c r="Q262" s="1">
        <v>59.060247163515044</v>
      </c>
      <c r="R262" s="1">
        <v>1.2358419936742639</v>
      </c>
      <c r="S262" s="1">
        <v>167.52655033238366</v>
      </c>
      <c r="T262" s="1">
        <v>0.85673835576272417</v>
      </c>
      <c r="U262" s="1">
        <v>59.406522580645152</v>
      </c>
      <c r="V262" s="1">
        <v>1.4890071526887561</v>
      </c>
      <c r="W262" s="1">
        <v>212.73128676163344</v>
      </c>
      <c r="X262" s="1">
        <v>1.1681266897697442</v>
      </c>
      <c r="Y262" s="1">
        <v>64.776856878012609</v>
      </c>
      <c r="Z262" s="1">
        <v>0.93707862014814813</v>
      </c>
      <c r="AA262" s="1">
        <v>182.96056682769731</v>
      </c>
      <c r="AB262" s="1">
        <v>0.94235255138940088</v>
      </c>
      <c r="AC262" s="1">
        <v>56.038829109062959</v>
      </c>
    </row>
    <row r="263" spans="1:29" x14ac:dyDescent="0.2">
      <c r="A263" s="1" t="s">
        <v>1032</v>
      </c>
      <c r="B263" s="1" t="str">
        <f t="shared" ca="1" si="4"/>
        <v>Open</v>
      </c>
      <c r="C263" s="1" t="s">
        <v>2770</v>
      </c>
      <c r="D263" s="1" t="s">
        <v>1033</v>
      </c>
      <c r="E263" s="1" t="s">
        <v>1034</v>
      </c>
      <c r="F263" s="1" t="s">
        <v>28</v>
      </c>
      <c r="G263" s="1" t="s">
        <v>1035</v>
      </c>
      <c r="H263" s="24">
        <v>44828</v>
      </c>
      <c r="I263" s="1"/>
      <c r="J263" s="1">
        <v>47.894333000000003</v>
      </c>
      <c r="K263" s="1">
        <v>106.800634</v>
      </c>
      <c r="L263" s="20">
        <v>0</v>
      </c>
      <c r="M263" s="20">
        <v>0.99930555555555556</v>
      </c>
      <c r="N263" s="1">
        <v>0.64838016558611589</v>
      </c>
      <c r="O263" s="1">
        <v>122.66941439696107</v>
      </c>
      <c r="P263" s="1">
        <v>0.24610163073201094</v>
      </c>
      <c r="Q263" s="1">
        <v>19.070706019033491</v>
      </c>
      <c r="R263" s="1">
        <v>0.70184117465954399</v>
      </c>
      <c r="S263" s="1">
        <v>112.42451946818615</v>
      </c>
      <c r="T263" s="1">
        <v>0.2642516998594982</v>
      </c>
      <c r="U263" s="1">
        <v>19.495169892473115</v>
      </c>
      <c r="V263" s="1">
        <v>0.89497946259483374</v>
      </c>
      <c r="W263" s="1">
        <v>107.97166748338081</v>
      </c>
      <c r="X263" s="1">
        <v>0.3212234306265232</v>
      </c>
      <c r="Y263" s="1">
        <v>20.552738351254479</v>
      </c>
      <c r="Z263" s="1">
        <v>0.52868434493482275</v>
      </c>
      <c r="AA263" s="1">
        <v>126.80990460838704</v>
      </c>
      <c r="AB263" s="1">
        <v>0.19110897161111109</v>
      </c>
      <c r="AC263" s="1">
        <v>16.820455555555558</v>
      </c>
    </row>
    <row r="264" spans="1:29" x14ac:dyDescent="0.2">
      <c r="A264" s="1" t="s">
        <v>1036</v>
      </c>
      <c r="B264" s="1" t="str">
        <f t="shared" ca="1" si="4"/>
        <v>Open</v>
      </c>
      <c r="C264" s="1" t="s">
        <v>2770</v>
      </c>
      <c r="D264" s="1" t="s">
        <v>1037</v>
      </c>
      <c r="E264" s="1" t="s">
        <v>1038</v>
      </c>
      <c r="F264" s="1" t="s">
        <v>48</v>
      </c>
      <c r="G264" s="1" t="s">
        <v>1039</v>
      </c>
      <c r="H264" s="24">
        <v>44831</v>
      </c>
      <c r="I264" s="1"/>
      <c r="J264" s="1">
        <v>47.928373999999998</v>
      </c>
      <c r="K264" s="1">
        <v>106.99774499999999</v>
      </c>
      <c r="L264" s="20">
        <v>0</v>
      </c>
      <c r="M264" s="20">
        <v>0.99930555555555556</v>
      </c>
      <c r="N264" s="1">
        <v>0.69384771085730301</v>
      </c>
      <c r="O264" s="1">
        <v>106.80375534662871</v>
      </c>
      <c r="P264" s="1">
        <v>0.70173983715806421</v>
      </c>
      <c r="Q264" s="1">
        <v>32.746953405017926</v>
      </c>
      <c r="R264" s="1">
        <v>0.69011444808167133</v>
      </c>
      <c r="S264" s="1">
        <v>88.680990978157638</v>
      </c>
      <c r="T264" s="1">
        <v>0.5562084551125448</v>
      </c>
      <c r="U264" s="1">
        <v>34.453033333333337</v>
      </c>
      <c r="V264" s="1">
        <v>0.93287719489278242</v>
      </c>
      <c r="W264" s="1">
        <v>132.72124681861348</v>
      </c>
      <c r="X264" s="1">
        <v>0.91886633656594985</v>
      </c>
      <c r="Y264" s="1">
        <v>41.222920430107521</v>
      </c>
      <c r="Z264" s="1">
        <v>0.69126557862533533</v>
      </c>
      <c r="AA264" s="1">
        <v>110.90093022007511</v>
      </c>
      <c r="AB264" s="1">
        <v>0.639711587033026</v>
      </c>
      <c r="AC264" s="1">
        <v>31.345598694316426</v>
      </c>
    </row>
    <row r="265" spans="1:29" x14ac:dyDescent="0.2">
      <c r="A265" s="1" t="s">
        <v>1040</v>
      </c>
      <c r="B265" s="1" t="str">
        <f t="shared" ca="1" si="4"/>
        <v>Open</v>
      </c>
      <c r="C265" s="1" t="s">
        <v>2770</v>
      </c>
      <c r="D265" s="1" t="s">
        <v>1041</v>
      </c>
      <c r="E265" s="1" t="s">
        <v>1042</v>
      </c>
      <c r="F265" s="1" t="s">
        <v>64</v>
      </c>
      <c r="G265" s="1" t="s">
        <v>1043</v>
      </c>
      <c r="H265" s="24">
        <v>44832</v>
      </c>
      <c r="I265" s="1"/>
      <c r="J265" s="1">
        <v>47.877116000000001</v>
      </c>
      <c r="K265" s="1">
        <v>106.852311</v>
      </c>
      <c r="L265" s="20">
        <v>0.375</v>
      </c>
      <c r="M265" s="20">
        <v>0.875</v>
      </c>
      <c r="N265" s="1">
        <v>0.46916265507982907</v>
      </c>
      <c r="O265" s="1">
        <v>68.763688053181397</v>
      </c>
      <c r="P265" s="1">
        <v>0.70017333275017901</v>
      </c>
      <c r="Q265" s="1">
        <v>38.98240788530466</v>
      </c>
      <c r="R265" s="1">
        <v>0.44893669632336186</v>
      </c>
      <c r="S265" s="1">
        <v>61.903235517568852</v>
      </c>
      <c r="T265" s="1">
        <v>0.56395244627240138</v>
      </c>
      <c r="U265" s="1">
        <v>35.779719354838711</v>
      </c>
      <c r="V265" s="1">
        <v>0.55093911826771447</v>
      </c>
      <c r="W265" s="1">
        <v>81.724072619843923</v>
      </c>
      <c r="X265" s="1">
        <v>0.66276635960995911</v>
      </c>
      <c r="Y265" s="1">
        <v>37.391615079365081</v>
      </c>
      <c r="Z265" s="1">
        <v>0.31575813127920221</v>
      </c>
      <c r="AA265" s="1">
        <v>54.411334757834766</v>
      </c>
      <c r="AB265" s="1">
        <v>0.48739408989247313</v>
      </c>
      <c r="AC265" s="1">
        <v>31.054387992831536</v>
      </c>
    </row>
    <row r="266" spans="1:29" x14ac:dyDescent="0.2">
      <c r="A266" s="1" t="s">
        <v>1044</v>
      </c>
      <c r="B266" s="1" t="str">
        <f t="shared" ca="1" si="4"/>
        <v>Open</v>
      </c>
      <c r="C266" s="1" t="s">
        <v>2770</v>
      </c>
      <c r="D266" s="1" t="s">
        <v>1045</v>
      </c>
      <c r="E266" s="1" t="s">
        <v>1046</v>
      </c>
      <c r="F266" s="1" t="s">
        <v>64</v>
      </c>
      <c r="G266" s="1" t="s">
        <v>1047</v>
      </c>
      <c r="H266" s="24">
        <v>44834</v>
      </c>
      <c r="I266" s="1"/>
      <c r="J266" s="1">
        <v>47.868397000000002</v>
      </c>
      <c r="K266" s="1">
        <v>106.806572</v>
      </c>
      <c r="L266" s="20">
        <v>0</v>
      </c>
      <c r="M266" s="20">
        <v>0.99930555555555556</v>
      </c>
      <c r="N266" s="1">
        <v>1.0328711976244254</v>
      </c>
      <c r="O266" s="1">
        <v>170.21299132003801</v>
      </c>
      <c r="P266" s="1">
        <v>0.98997857117383503</v>
      </c>
      <c r="Q266" s="1">
        <v>50.565382078853041</v>
      </c>
      <c r="R266" s="1">
        <v>1.0010945283850903</v>
      </c>
      <c r="S266" s="1">
        <v>133.66056742640077</v>
      </c>
      <c r="T266" s="1">
        <v>0.85161866476559123</v>
      </c>
      <c r="U266" s="1">
        <v>49.946608960573485</v>
      </c>
      <c r="V266" s="1">
        <v>1.288313136151795</v>
      </c>
      <c r="W266" s="1">
        <v>160.97729384615386</v>
      </c>
      <c r="X266" s="1">
        <v>1.0224133864628473</v>
      </c>
      <c r="Y266" s="1">
        <v>58.214689667531822</v>
      </c>
      <c r="Z266" s="1">
        <v>1.0159180560193237</v>
      </c>
      <c r="AA266" s="1">
        <v>187.94202093397746</v>
      </c>
      <c r="AB266" s="1">
        <v>0.70713625848665862</v>
      </c>
      <c r="AC266" s="1">
        <v>43.977560732775771</v>
      </c>
    </row>
    <row r="267" spans="1:29" x14ac:dyDescent="0.2">
      <c r="A267" s="1" t="s">
        <v>1048</v>
      </c>
      <c r="B267" s="1" t="str">
        <f t="shared" ca="1" si="4"/>
        <v>Open</v>
      </c>
      <c r="C267" s="1" t="s">
        <v>2770</v>
      </c>
      <c r="D267" s="1" t="s">
        <v>1049</v>
      </c>
      <c r="E267" s="1" t="s">
        <v>1050</v>
      </c>
      <c r="F267" s="1" t="s">
        <v>64</v>
      </c>
      <c r="G267" s="1" t="s">
        <v>1051</v>
      </c>
      <c r="H267" s="24">
        <v>44858</v>
      </c>
      <c r="I267" s="1"/>
      <c r="J267" s="1">
        <v>47.874699</v>
      </c>
      <c r="K267" s="1">
        <v>106.90792</v>
      </c>
      <c r="L267" s="20">
        <v>0</v>
      </c>
      <c r="M267" s="20">
        <v>0.99930555555555556</v>
      </c>
      <c r="N267" s="1">
        <v>0.91806477598486236</v>
      </c>
      <c r="O267" s="1">
        <v>147.23629352326682</v>
      </c>
      <c r="P267" s="1">
        <v>1.0227758037964154</v>
      </c>
      <c r="Q267" s="1">
        <v>54.734559856630824</v>
      </c>
      <c r="R267" s="1">
        <v>0.88178628013627725</v>
      </c>
      <c r="S267" s="1">
        <v>130.53557834757837</v>
      </c>
      <c r="T267" s="1">
        <v>1.0627297772131998</v>
      </c>
      <c r="U267" s="1">
        <v>58.22185502410084</v>
      </c>
      <c r="V267" s="1">
        <v>0.98719333153844258</v>
      </c>
      <c r="W267" s="1">
        <v>148.00920672364671</v>
      </c>
      <c r="X267" s="1">
        <v>1.2196705150125442</v>
      </c>
      <c r="Y267" s="1">
        <v>52.637846594982086</v>
      </c>
      <c r="Z267" s="1">
        <v>0.6883932919651099</v>
      </c>
      <c r="AA267" s="1">
        <v>126.63488835212024</v>
      </c>
      <c r="AB267" s="1">
        <v>0.67679267075422411</v>
      </c>
      <c r="AC267" s="1">
        <v>40.668548771121351</v>
      </c>
    </row>
    <row r="268" spans="1:29" x14ac:dyDescent="0.2">
      <c r="A268" s="1" t="s">
        <v>1052</v>
      </c>
      <c r="B268" s="1" t="str">
        <f t="shared" ca="1" si="4"/>
        <v>Open</v>
      </c>
      <c r="C268" s="1" t="s">
        <v>2770</v>
      </c>
      <c r="D268" s="1" t="s">
        <v>1053</v>
      </c>
      <c r="E268" s="1" t="s">
        <v>1054</v>
      </c>
      <c r="F268" s="1" t="s">
        <v>64</v>
      </c>
      <c r="G268" s="1" t="s">
        <v>2653</v>
      </c>
      <c r="H268" s="24">
        <v>44820</v>
      </c>
      <c r="I268" s="1"/>
      <c r="J268" s="1">
        <v>47.890335999999998</v>
      </c>
      <c r="K268" s="1">
        <v>106.933182</v>
      </c>
      <c r="L268" s="20">
        <v>0.29166666666666669</v>
      </c>
      <c r="M268" s="20">
        <v>0.99930555555555556</v>
      </c>
      <c r="N268" s="1">
        <v>0.44068257865109201</v>
      </c>
      <c r="O268" s="1">
        <v>59.231185147198467</v>
      </c>
      <c r="P268" s="1">
        <v>0.80131660467512056</v>
      </c>
      <c r="Q268" s="1">
        <v>25.835002286491171</v>
      </c>
      <c r="R268" s="1">
        <v>0.46811714442972469</v>
      </c>
      <c r="S268" s="1">
        <v>55.483662393162398</v>
      </c>
      <c r="T268" s="1">
        <v>0.87897477636953403</v>
      </c>
      <c r="U268" s="1">
        <v>25.98519928315412</v>
      </c>
      <c r="V268" s="1">
        <v>0.41880926164980053</v>
      </c>
      <c r="W268" s="1">
        <v>53.154301272554598</v>
      </c>
      <c r="X268" s="1">
        <v>0.98669830814767012</v>
      </c>
      <c r="Y268" s="1">
        <v>22.948118996415772</v>
      </c>
      <c r="Z268" s="1">
        <v>0.34087943656253356</v>
      </c>
      <c r="AA268" s="1">
        <v>44.751472356414382</v>
      </c>
      <c r="AB268" s="1">
        <v>0.57182472284380725</v>
      </c>
      <c r="AC268" s="1">
        <v>21.02652724014337</v>
      </c>
    </row>
    <row r="269" spans="1:29" x14ac:dyDescent="0.2">
      <c r="A269" s="1" t="s">
        <v>1055</v>
      </c>
      <c r="B269" s="1" t="str">
        <f t="shared" ca="1" si="4"/>
        <v>Open</v>
      </c>
      <c r="C269" s="1" t="s">
        <v>2770</v>
      </c>
      <c r="D269" s="1" t="s">
        <v>1056</v>
      </c>
      <c r="E269" s="1" t="s">
        <v>1057</v>
      </c>
      <c r="F269" s="1" t="s">
        <v>48</v>
      </c>
      <c r="G269" s="1" t="s">
        <v>1058</v>
      </c>
      <c r="H269" s="24">
        <v>44851</v>
      </c>
      <c r="I269" s="1"/>
      <c r="J269" s="1">
        <v>47.927647</v>
      </c>
      <c r="K269" s="1">
        <v>106.93230699999999</v>
      </c>
      <c r="L269" s="20">
        <v>0.29166666666666669</v>
      </c>
      <c r="M269" s="20">
        <v>0.99930555555555556</v>
      </c>
      <c r="N269" s="1">
        <v>0.52441753203377006</v>
      </c>
      <c r="O269" s="1">
        <v>78.448386324786327</v>
      </c>
      <c r="P269" s="1">
        <v>1.3203945255716842</v>
      </c>
      <c r="Q269" s="1">
        <v>46.205553046594986</v>
      </c>
      <c r="R269" s="1">
        <v>0.40430992087274453</v>
      </c>
      <c r="S269" s="1">
        <v>58.443949192782526</v>
      </c>
      <c r="T269" s="1">
        <v>1.0900246389917563</v>
      </c>
      <c r="U269" s="1">
        <v>37.027202867383515</v>
      </c>
      <c r="V269" s="1">
        <v>0.51457279063042738</v>
      </c>
      <c r="W269" s="1">
        <v>71.355071984805335</v>
      </c>
      <c r="X269" s="1">
        <v>0.95569818967813613</v>
      </c>
      <c r="Y269" s="1">
        <v>37.997272759856635</v>
      </c>
      <c r="Z269" s="1">
        <v>0.32038310833870109</v>
      </c>
      <c r="AA269" s="1">
        <v>57.934234031132597</v>
      </c>
      <c r="AB269" s="1">
        <v>0.88310083966244246</v>
      </c>
      <c r="AC269" s="1">
        <v>24.167477342549915</v>
      </c>
    </row>
    <row r="270" spans="1:29" x14ac:dyDescent="0.2">
      <c r="A270" s="1" t="s">
        <v>1059</v>
      </c>
      <c r="B270" s="1" t="str">
        <f t="shared" ca="1" si="4"/>
        <v>Open</v>
      </c>
      <c r="C270" s="1" t="s">
        <v>2770</v>
      </c>
      <c r="D270" s="1" t="s">
        <v>1060</v>
      </c>
      <c r="E270" s="1" t="s">
        <v>1061</v>
      </c>
      <c r="F270" s="1" t="s">
        <v>48</v>
      </c>
      <c r="G270" s="1" t="s">
        <v>1062</v>
      </c>
      <c r="H270" s="24">
        <v>44855</v>
      </c>
      <c r="I270" s="1"/>
      <c r="J270" s="1">
        <v>47.909621000000001</v>
      </c>
      <c r="K270" s="1">
        <v>107.038661</v>
      </c>
      <c r="L270" s="20">
        <v>0</v>
      </c>
      <c r="M270" s="20">
        <v>0.99930555555555556</v>
      </c>
      <c r="N270" s="1">
        <v>0.61359329198932566</v>
      </c>
      <c r="O270" s="1">
        <v>96.917225299145286</v>
      </c>
      <c r="P270" s="1">
        <v>0.95348886809964151</v>
      </c>
      <c r="Q270" s="1">
        <v>45.619049820788526</v>
      </c>
      <c r="R270" s="1">
        <v>0.78104442932241225</v>
      </c>
      <c r="S270" s="1">
        <v>100.57755080721749</v>
      </c>
      <c r="T270" s="1">
        <v>0.99487439545519685</v>
      </c>
      <c r="U270" s="1">
        <v>50.364427956989253</v>
      </c>
      <c r="V270" s="1">
        <v>1.1060582971836468</v>
      </c>
      <c r="W270" s="1">
        <v>153.66073593542262</v>
      </c>
      <c r="X270" s="1">
        <v>1.3877580583698925</v>
      </c>
      <c r="Y270" s="1">
        <v>59.661821146953379</v>
      </c>
      <c r="Z270" s="1">
        <v>0.60754860220021467</v>
      </c>
      <c r="AA270" s="1">
        <v>114.9040901771337</v>
      </c>
      <c r="AB270" s="1">
        <v>0.66971640014477718</v>
      </c>
      <c r="AC270" s="1">
        <v>35.557776497695848</v>
      </c>
    </row>
    <row r="271" spans="1:29" x14ac:dyDescent="0.2">
      <c r="A271" s="1" t="s">
        <v>1063</v>
      </c>
      <c r="B271" s="1" t="str">
        <f t="shared" ca="1" si="4"/>
        <v>Open</v>
      </c>
      <c r="C271" s="1" t="s">
        <v>2770</v>
      </c>
      <c r="D271" s="1" t="s">
        <v>1064</v>
      </c>
      <c r="E271" s="1" t="s">
        <v>1065</v>
      </c>
      <c r="F271" s="1" t="s">
        <v>48</v>
      </c>
      <c r="G271" s="1" t="s">
        <v>1066</v>
      </c>
      <c r="H271" s="24">
        <v>44855</v>
      </c>
      <c r="I271" s="1"/>
      <c r="J271" s="1">
        <v>47.901899</v>
      </c>
      <c r="K271" s="1">
        <v>107.029184</v>
      </c>
      <c r="L271" s="20">
        <v>0</v>
      </c>
      <c r="M271" s="20">
        <v>0.99930555555555556</v>
      </c>
      <c r="N271" s="1">
        <v>1.1299219511501233</v>
      </c>
      <c r="O271" s="1">
        <v>175.78051848053181</v>
      </c>
      <c r="P271" s="1">
        <v>0.92885646365125429</v>
      </c>
      <c r="Q271" s="1">
        <v>61.85752616487455</v>
      </c>
      <c r="R271" s="1">
        <v>1.2147707078566004</v>
      </c>
      <c r="S271" s="1">
        <v>169.54489031339031</v>
      </c>
      <c r="T271" s="1">
        <v>0.86816028567741954</v>
      </c>
      <c r="U271" s="1">
        <v>62.406944086021504</v>
      </c>
      <c r="V271" s="1">
        <v>1.7669108426887747</v>
      </c>
      <c r="W271" s="1">
        <v>243.74424976258319</v>
      </c>
      <c r="X271" s="1">
        <v>1.1875465284896061</v>
      </c>
      <c r="Y271" s="1">
        <v>83.217571326164872</v>
      </c>
      <c r="Z271" s="1">
        <v>0.93712029099516914</v>
      </c>
      <c r="AA271" s="1">
        <v>162.09101341921632</v>
      </c>
      <c r="AB271" s="1">
        <v>0.79572032948118265</v>
      </c>
      <c r="AC271" s="1">
        <v>52.951273041474657</v>
      </c>
    </row>
    <row r="272" spans="1:29" x14ac:dyDescent="0.2">
      <c r="A272" s="1" t="s">
        <v>1067</v>
      </c>
      <c r="B272" s="1" t="str">
        <f t="shared" ca="1" si="4"/>
        <v>Open</v>
      </c>
      <c r="C272" s="1" t="s">
        <v>2770</v>
      </c>
      <c r="D272" s="1" t="s">
        <v>1068</v>
      </c>
      <c r="E272" s="1" t="s">
        <v>1069</v>
      </c>
      <c r="F272" s="1" t="s">
        <v>11</v>
      </c>
      <c r="G272" s="1" t="s">
        <v>1070</v>
      </c>
      <c r="H272" s="24">
        <v>44865</v>
      </c>
      <c r="I272" s="1"/>
      <c r="J272" s="1">
        <v>47.928618399999998</v>
      </c>
      <c r="K272" s="1">
        <v>106.92635900000001</v>
      </c>
      <c r="L272" s="20">
        <v>0.29166666666666669</v>
      </c>
      <c r="M272" s="20">
        <v>0.99930555555555556</v>
      </c>
      <c r="N272" s="1">
        <v>0.41756702894301995</v>
      </c>
      <c r="O272" s="1">
        <v>79.006638295346633</v>
      </c>
      <c r="P272" s="1">
        <v>0.86492696254769486</v>
      </c>
      <c r="Q272" s="1">
        <v>31.314645544432082</v>
      </c>
      <c r="R272" s="1">
        <v>0.52075246787422291</v>
      </c>
      <c r="S272" s="1">
        <v>83.901629856254843</v>
      </c>
      <c r="T272" s="1">
        <v>0.61478542075340492</v>
      </c>
      <c r="U272" s="1">
        <v>28.66121935483871</v>
      </c>
      <c r="V272" s="1">
        <v>0.50304309153567439</v>
      </c>
      <c r="W272" s="1">
        <v>85.305188963210711</v>
      </c>
      <c r="X272" s="1">
        <v>0.6631446329967744</v>
      </c>
      <c r="Y272" s="1">
        <v>32.297080645161287</v>
      </c>
      <c r="Z272" s="1">
        <v>0.29632444724691359</v>
      </c>
      <c r="AA272" s="1">
        <v>56.430114868491692</v>
      </c>
      <c r="AB272" s="1">
        <v>0.38921734779172629</v>
      </c>
      <c r="AC272" s="1">
        <v>22.20287949573601</v>
      </c>
    </row>
    <row r="273" spans="1:29" x14ac:dyDescent="0.2">
      <c r="A273" s="1" t="s">
        <v>1071</v>
      </c>
      <c r="B273" s="1" t="str">
        <f t="shared" ca="1" si="4"/>
        <v>Closed</v>
      </c>
      <c r="C273" s="1" t="s">
        <v>2770</v>
      </c>
      <c r="D273" s="1" t="s">
        <v>1072</v>
      </c>
      <c r="E273" s="1" t="s">
        <v>1073</v>
      </c>
      <c r="F273" s="1" t="s">
        <v>48</v>
      </c>
      <c r="G273" s="1" t="s">
        <v>1074</v>
      </c>
      <c r="H273" s="24">
        <v>44863</v>
      </c>
      <c r="I273" s="24">
        <v>45762</v>
      </c>
      <c r="J273" s="1">
        <v>47.918416999999998</v>
      </c>
      <c r="K273" s="1">
        <v>106.947549</v>
      </c>
      <c r="L273" s="20">
        <v>0.29166666666666669</v>
      </c>
      <c r="M273" s="20">
        <v>0.99930555555555556</v>
      </c>
      <c r="N273" s="1">
        <v>0.73639092957822683</v>
      </c>
      <c r="O273" s="1">
        <v>120.83034189340572</v>
      </c>
      <c r="P273" s="1">
        <v>1.0305683280225519</v>
      </c>
      <c r="Q273" s="1">
        <v>50.741335744455974</v>
      </c>
      <c r="R273" s="1">
        <v>0.59040460416298346</v>
      </c>
      <c r="S273" s="1">
        <v>89.194482949969199</v>
      </c>
      <c r="T273" s="1">
        <v>0.75259547811091621</v>
      </c>
      <c r="U273" s="1">
        <v>42.787010057717602</v>
      </c>
      <c r="V273" s="1">
        <v>0.92053739661526512</v>
      </c>
      <c r="W273" s="1">
        <v>133.18199833686319</v>
      </c>
      <c r="X273" s="1">
        <v>1.0622171211785376</v>
      </c>
      <c r="Y273" s="1">
        <v>52.728527320208435</v>
      </c>
      <c r="Z273" s="1">
        <v>0.61668712407906823</v>
      </c>
      <c r="AA273" s="1">
        <v>111.42882484304808</v>
      </c>
      <c r="AB273" s="1">
        <v>0.75426453629546997</v>
      </c>
      <c r="AC273" s="1">
        <v>41.5584292989384</v>
      </c>
    </row>
    <row r="274" spans="1:29" x14ac:dyDescent="0.2">
      <c r="A274" s="1" t="s">
        <v>1075</v>
      </c>
      <c r="B274" s="1" t="str">
        <f t="shared" ca="1" si="4"/>
        <v>Open</v>
      </c>
      <c r="C274" s="1" t="s">
        <v>2770</v>
      </c>
      <c r="D274" s="1" t="s">
        <v>1076</v>
      </c>
      <c r="E274" s="1" t="s">
        <v>1077</v>
      </c>
      <c r="F274" s="1" t="s">
        <v>64</v>
      </c>
      <c r="G274" s="1" t="s">
        <v>1078</v>
      </c>
      <c r="H274" s="24">
        <v>44861</v>
      </c>
      <c r="I274" s="1"/>
      <c r="J274" s="1">
        <v>47.903455999999998</v>
      </c>
      <c r="K274" s="1">
        <v>106.875252</v>
      </c>
      <c r="L274" s="20">
        <v>0</v>
      </c>
      <c r="M274" s="20">
        <v>0.99930555555555556</v>
      </c>
      <c r="N274" s="1">
        <v>1.083913777370902</v>
      </c>
      <c r="O274" s="1">
        <v>197.74281622032291</v>
      </c>
      <c r="P274" s="1">
        <v>1.30274688075914</v>
      </c>
      <c r="Q274" s="1">
        <v>70.741384587813613</v>
      </c>
      <c r="R274" s="1">
        <v>1.1013814692008548</v>
      </c>
      <c r="S274" s="1">
        <v>172.09169278252611</v>
      </c>
      <c r="T274" s="1">
        <v>1.2163479694222219</v>
      </c>
      <c r="U274" s="1">
        <v>75.528397132616476</v>
      </c>
      <c r="V274" s="1">
        <v>1.3332464996873121</v>
      </c>
      <c r="W274" s="1">
        <v>202.29448850902182</v>
      </c>
      <c r="X274" s="1">
        <v>1.3267562701204298</v>
      </c>
      <c r="Y274" s="1">
        <v>74.684478853046627</v>
      </c>
      <c r="Z274" s="1">
        <v>0.92110348900122385</v>
      </c>
      <c r="AA274" s="1">
        <v>202.92026318840581</v>
      </c>
      <c r="AB274" s="1">
        <v>0.91504824904992299</v>
      </c>
      <c r="AC274" s="1">
        <v>59.65564362519202</v>
      </c>
    </row>
    <row r="275" spans="1:29" x14ac:dyDescent="0.2">
      <c r="A275" s="1" t="s">
        <v>1079</v>
      </c>
      <c r="B275" s="1" t="str">
        <f t="shared" ca="1" si="4"/>
        <v>Open</v>
      </c>
      <c r="C275" s="1" t="s">
        <v>2770</v>
      </c>
      <c r="D275" s="1" t="s">
        <v>1080</v>
      </c>
      <c r="E275" s="1" t="s">
        <v>1081</v>
      </c>
      <c r="F275" s="1" t="s">
        <v>28</v>
      </c>
      <c r="G275" s="1" t="s">
        <v>1082</v>
      </c>
      <c r="H275" s="24">
        <v>44875</v>
      </c>
      <c r="I275" s="1"/>
      <c r="J275" s="1">
        <v>47.910879000000001</v>
      </c>
      <c r="K275" s="1">
        <v>106.889381</v>
      </c>
      <c r="L275" s="20">
        <v>0</v>
      </c>
      <c r="M275" s="20">
        <v>0.99930555555555556</v>
      </c>
      <c r="N275" s="1">
        <v>0.68337976202915496</v>
      </c>
      <c r="O275" s="1">
        <v>105.423096011396</v>
      </c>
      <c r="P275" s="1">
        <v>1.1928138616222224</v>
      </c>
      <c r="Q275" s="1">
        <v>52.773177777777768</v>
      </c>
      <c r="R275" s="1">
        <v>0.60757640951377023</v>
      </c>
      <c r="S275" s="1">
        <v>97.712759734093069</v>
      </c>
      <c r="T275" s="1">
        <v>1.0832227214985664</v>
      </c>
      <c r="U275" s="1">
        <v>54.175170967741963</v>
      </c>
      <c r="V275" s="1">
        <v>0.74052453189401712</v>
      </c>
      <c r="W275" s="1">
        <v>124.18147572649575</v>
      </c>
      <c r="X275" s="1">
        <v>1.0234144460225805</v>
      </c>
      <c r="Y275" s="1">
        <v>53.141782437275985</v>
      </c>
      <c r="Z275" s="1">
        <v>0.57932029620128822</v>
      </c>
      <c r="AA275" s="1">
        <v>109.62660654857757</v>
      </c>
      <c r="AB275" s="1">
        <v>0.87975982168433153</v>
      </c>
      <c r="AC275" s="1">
        <v>47.035283026113689</v>
      </c>
    </row>
    <row r="276" spans="1:29" x14ac:dyDescent="0.2">
      <c r="A276" s="1" t="s">
        <v>1083</v>
      </c>
      <c r="B276" s="1" t="str">
        <f t="shared" ca="1" si="4"/>
        <v>Open</v>
      </c>
      <c r="C276" s="1" t="s">
        <v>2770</v>
      </c>
      <c r="D276" s="1" t="s">
        <v>2611</v>
      </c>
      <c r="E276" s="1" t="s">
        <v>2631</v>
      </c>
      <c r="F276" s="1" t="s">
        <v>11</v>
      </c>
      <c r="G276" s="1" t="s">
        <v>2654</v>
      </c>
      <c r="H276" s="24">
        <v>44972</v>
      </c>
      <c r="I276" s="1"/>
      <c r="J276" s="1">
        <v>47.934621999999997</v>
      </c>
      <c r="K276" s="1">
        <v>106.9164</v>
      </c>
      <c r="L276" s="20">
        <v>0</v>
      </c>
      <c r="M276" s="20">
        <v>0.99930555555555556</v>
      </c>
      <c r="N276" s="1">
        <v>1.0884359516691025</v>
      </c>
      <c r="O276" s="1">
        <v>195.95859653846159</v>
      </c>
      <c r="P276" s="1">
        <v>1.3678824580587301</v>
      </c>
      <c r="Q276" s="1">
        <v>69.594120634920628</v>
      </c>
      <c r="R276" s="1">
        <v>1.0373875097046534</v>
      </c>
      <c r="S276" s="1">
        <v>156.06560066476735</v>
      </c>
      <c r="T276" s="1">
        <v>0.92393179162508965</v>
      </c>
      <c r="U276" s="1">
        <v>60.950798924731167</v>
      </c>
      <c r="V276" s="1">
        <v>1.262260366382735</v>
      </c>
      <c r="W276" s="1">
        <v>190.05221958214631</v>
      </c>
      <c r="X276" s="1">
        <v>1.1180646555462366</v>
      </c>
      <c r="Y276" s="1">
        <v>65.230207526881713</v>
      </c>
      <c r="Z276" s="1">
        <v>1.0619826848819727</v>
      </c>
      <c r="AA276" s="1">
        <v>211.34626101407989</v>
      </c>
      <c r="AB276" s="1">
        <v>0.88362446026157171</v>
      </c>
      <c r="AC276" s="1">
        <v>67.476338197644665</v>
      </c>
    </row>
    <row r="277" spans="1:29" x14ac:dyDescent="0.2">
      <c r="A277" s="1" t="s">
        <v>1084</v>
      </c>
      <c r="B277" s="1" t="str">
        <f t="shared" ca="1" si="4"/>
        <v>Open</v>
      </c>
      <c r="C277" s="1" t="s">
        <v>2770</v>
      </c>
      <c r="D277" s="1" t="s">
        <v>1085</v>
      </c>
      <c r="E277" s="1" t="s">
        <v>1086</v>
      </c>
      <c r="F277" s="1" t="s">
        <v>64</v>
      </c>
      <c r="G277" s="1" t="s">
        <v>1087</v>
      </c>
      <c r="H277" s="24">
        <v>44887</v>
      </c>
      <c r="I277" s="1"/>
      <c r="J277" s="1">
        <v>47.900772000000003</v>
      </c>
      <c r="K277" s="1">
        <v>106.866229</v>
      </c>
      <c r="L277" s="20">
        <v>0</v>
      </c>
      <c r="M277" s="20">
        <v>0.99930555555555556</v>
      </c>
      <c r="N277" s="1">
        <v>1.7004291166887562</v>
      </c>
      <c r="O277" s="1">
        <v>312.71832554605891</v>
      </c>
      <c r="P277" s="1">
        <v>1.870772742514337</v>
      </c>
      <c r="Q277" s="1">
        <v>88.802362365591378</v>
      </c>
      <c r="R277" s="1">
        <v>1.6541011171680913</v>
      </c>
      <c r="S277" s="1">
        <v>246.45883190883185</v>
      </c>
      <c r="T277" s="1">
        <v>1.7037595495268816</v>
      </c>
      <c r="U277" s="1">
        <v>87.261986021505365</v>
      </c>
      <c r="V277" s="1">
        <v>1.9714696579082815</v>
      </c>
      <c r="W277" s="1">
        <v>284.44266828110159</v>
      </c>
      <c r="X277" s="1">
        <v>1.7054148103476701</v>
      </c>
      <c r="Y277" s="1">
        <v>90.938344086021516</v>
      </c>
      <c r="Z277" s="1">
        <v>1.3769518651787438</v>
      </c>
      <c r="AA277" s="1">
        <v>282.01113526570049</v>
      </c>
      <c r="AB277" s="1">
        <v>1.3401495898563749</v>
      </c>
      <c r="AC277" s="1">
        <v>76.232651689708135</v>
      </c>
    </row>
    <row r="278" spans="1:29" x14ac:dyDescent="0.2">
      <c r="A278" s="1" t="s">
        <v>1088</v>
      </c>
      <c r="B278" s="1" t="str">
        <f t="shared" ca="1" si="4"/>
        <v>Open</v>
      </c>
      <c r="C278" s="1" t="s">
        <v>2770</v>
      </c>
      <c r="D278" s="1" t="s">
        <v>1089</v>
      </c>
      <c r="E278" s="1" t="s">
        <v>1090</v>
      </c>
      <c r="F278" s="1" t="s">
        <v>28</v>
      </c>
      <c r="G278" s="1" t="s">
        <v>1091</v>
      </c>
      <c r="H278" s="24">
        <v>44886</v>
      </c>
      <c r="I278" s="1"/>
      <c r="J278" s="1">
        <v>47.918281999999998</v>
      </c>
      <c r="K278" s="1">
        <v>106.871785</v>
      </c>
      <c r="L278" s="20">
        <v>0</v>
      </c>
      <c r="M278" s="20">
        <v>0.99930555555555556</v>
      </c>
      <c r="N278" s="1">
        <v>1.0825771307110352</v>
      </c>
      <c r="O278" s="1">
        <v>205.10363982905983</v>
      </c>
      <c r="P278" s="1">
        <v>1.6961307760093185</v>
      </c>
      <c r="Q278" s="1">
        <v>78.429806451612876</v>
      </c>
      <c r="R278" s="1">
        <v>1.0567389801282052</v>
      </c>
      <c r="S278" s="1">
        <v>186.13953846153842</v>
      </c>
      <c r="T278" s="1">
        <v>1.6011801738451608</v>
      </c>
      <c r="U278" s="1">
        <v>71.028591756272377</v>
      </c>
      <c r="V278" s="1">
        <v>1.0289763670294776</v>
      </c>
      <c r="W278" s="1">
        <v>168.71108442545105</v>
      </c>
      <c r="X278" s="1">
        <v>1.6373398457978494</v>
      </c>
      <c r="Y278" s="1">
        <v>66.314486379928312</v>
      </c>
      <c r="Z278" s="1">
        <v>1.0185989059296834</v>
      </c>
      <c r="AA278" s="1">
        <v>213.80186473429953</v>
      </c>
      <c r="AB278" s="1">
        <v>1.4860516564466211</v>
      </c>
      <c r="AC278" s="1">
        <v>62.302850998463896</v>
      </c>
    </row>
    <row r="279" spans="1:29" x14ac:dyDescent="0.2">
      <c r="A279" s="1" t="s">
        <v>1092</v>
      </c>
      <c r="B279" s="1" t="str">
        <f t="shared" ca="1" si="4"/>
        <v>Closed</v>
      </c>
      <c r="C279" s="1" t="s">
        <v>2770</v>
      </c>
      <c r="D279" s="1" t="s">
        <v>1093</v>
      </c>
      <c r="E279" s="1" t="s">
        <v>1094</v>
      </c>
      <c r="F279" s="1" t="s">
        <v>28</v>
      </c>
      <c r="G279" s="1" t="s">
        <v>1095</v>
      </c>
      <c r="H279" s="24">
        <v>44879</v>
      </c>
      <c r="I279" s="24">
        <v>45430</v>
      </c>
      <c r="J279" s="1">
        <v>47.911521</v>
      </c>
      <c r="K279" s="1">
        <v>106.85336700000001</v>
      </c>
      <c r="L279" s="20">
        <v>0.29166666666666669</v>
      </c>
      <c r="M279" s="20">
        <v>0.99930555555555556</v>
      </c>
      <c r="N279" s="1">
        <v>0.73639092957822683</v>
      </c>
      <c r="O279" s="1">
        <v>120.83034189340572</v>
      </c>
      <c r="P279" s="1">
        <v>1.0305683280225519</v>
      </c>
      <c r="Q279" s="1">
        <v>50.741335744455974</v>
      </c>
      <c r="R279" s="1">
        <v>0.77505565528977927</v>
      </c>
      <c r="S279" s="1">
        <v>110.38798636394478</v>
      </c>
      <c r="T279" s="1">
        <v>0.95323771147676561</v>
      </c>
      <c r="U279" s="1">
        <v>50.072527276006774</v>
      </c>
      <c r="V279" s="1">
        <v>0.92053739661526512</v>
      </c>
      <c r="W279" s="1">
        <v>133.18199833686319</v>
      </c>
      <c r="X279" s="1">
        <v>1.0622171211785376</v>
      </c>
      <c r="Y279" s="1">
        <v>52.728527320208435</v>
      </c>
      <c r="Z279" s="1">
        <v>0.61668712407906823</v>
      </c>
      <c r="AA279" s="1">
        <v>111.42882484304808</v>
      </c>
      <c r="AB279" s="1">
        <v>0.75426453629546997</v>
      </c>
      <c r="AC279" s="1">
        <v>41.5584292989384</v>
      </c>
    </row>
    <row r="280" spans="1:29" x14ac:dyDescent="0.2">
      <c r="A280" s="1" t="s">
        <v>1096</v>
      </c>
      <c r="B280" s="1" t="str">
        <f t="shared" ca="1" si="4"/>
        <v>Closed</v>
      </c>
      <c r="C280" s="1" t="s">
        <v>2770</v>
      </c>
      <c r="D280" s="1" t="s">
        <v>1097</v>
      </c>
      <c r="E280" s="1" t="s">
        <v>1098</v>
      </c>
      <c r="F280" s="1" t="s">
        <v>28</v>
      </c>
      <c r="G280" s="1" t="s">
        <v>1099</v>
      </c>
      <c r="H280" s="24">
        <v>44883</v>
      </c>
      <c r="I280" s="24">
        <v>45431</v>
      </c>
      <c r="J280" s="1">
        <v>47.909239999999997</v>
      </c>
      <c r="K280" s="1">
        <v>106.809859</v>
      </c>
      <c r="L280" s="20">
        <v>0</v>
      </c>
      <c r="M280" s="20">
        <v>0.99930555555555556</v>
      </c>
      <c r="N280" s="1">
        <v>0.73639092957822683</v>
      </c>
      <c r="O280" s="1">
        <v>120.83034189340572</v>
      </c>
      <c r="P280" s="1">
        <v>1.0305683280225519</v>
      </c>
      <c r="Q280" s="1">
        <v>50.741335744455974</v>
      </c>
      <c r="R280" s="1">
        <v>0.77505565528977927</v>
      </c>
      <c r="S280" s="1">
        <v>110.38798636394478</v>
      </c>
      <c r="T280" s="1">
        <v>0.95323771147676561</v>
      </c>
      <c r="U280" s="1">
        <v>50.072527276006774</v>
      </c>
      <c r="V280" s="1">
        <v>0.92053739661526512</v>
      </c>
      <c r="W280" s="1">
        <v>133.18199833686319</v>
      </c>
      <c r="X280" s="1">
        <v>1.0622171211785376</v>
      </c>
      <c r="Y280" s="1">
        <v>52.728527320208435</v>
      </c>
      <c r="Z280" s="1">
        <v>0.61668712407906823</v>
      </c>
      <c r="AA280" s="1">
        <v>111.42882484304808</v>
      </c>
      <c r="AB280" s="1">
        <v>0.75426453629546997</v>
      </c>
      <c r="AC280" s="1">
        <v>41.5584292989384</v>
      </c>
    </row>
    <row r="281" spans="1:29" x14ac:dyDescent="0.2">
      <c r="A281" s="1" t="s">
        <v>1100</v>
      </c>
      <c r="B281" s="1" t="str">
        <f t="shared" ca="1" si="4"/>
        <v>Open</v>
      </c>
      <c r="C281" s="1" t="s">
        <v>2770</v>
      </c>
      <c r="D281" s="1" t="s">
        <v>1101</v>
      </c>
      <c r="E281" s="1" t="s">
        <v>1102</v>
      </c>
      <c r="F281" s="1" t="s">
        <v>48</v>
      </c>
      <c r="G281" s="1" t="s">
        <v>1103</v>
      </c>
      <c r="H281" s="24">
        <v>44891</v>
      </c>
      <c r="I281" s="1"/>
      <c r="J281" s="1">
        <v>47.935035999999997</v>
      </c>
      <c r="K281" s="1">
        <v>107.005781</v>
      </c>
      <c r="L281" s="20">
        <v>0</v>
      </c>
      <c r="M281" s="20">
        <v>0.99930555555555556</v>
      </c>
      <c r="N281" s="1">
        <v>0.79544098920028494</v>
      </c>
      <c r="O281" s="1">
        <v>125.58910624881291</v>
      </c>
      <c r="P281" s="1">
        <v>1.0244645057369175</v>
      </c>
      <c r="Q281" s="1">
        <v>42.293174910394271</v>
      </c>
      <c r="R281" s="1">
        <v>0.76539650839648621</v>
      </c>
      <c r="S281" s="1">
        <v>100.40821889838556</v>
      </c>
      <c r="T281" s="1">
        <v>0.74610685910967733</v>
      </c>
      <c r="U281" s="1">
        <v>41.904722939068087</v>
      </c>
      <c r="V281" s="1">
        <v>0.98001946180267829</v>
      </c>
      <c r="W281" s="1">
        <v>145.22975132003799</v>
      </c>
      <c r="X281" s="1">
        <v>0.89420837071182813</v>
      </c>
      <c r="Y281" s="1">
        <v>43.162064157706091</v>
      </c>
      <c r="Z281" s="1">
        <v>0.68617146177833888</v>
      </c>
      <c r="AA281" s="1">
        <v>137.27984343434343</v>
      </c>
      <c r="AB281" s="1">
        <v>0.54765637672158218</v>
      </c>
      <c r="AC281" s="1">
        <v>28.379519201228884</v>
      </c>
    </row>
    <row r="282" spans="1:29" x14ac:dyDescent="0.2">
      <c r="A282" s="1" t="s">
        <v>2164</v>
      </c>
      <c r="B282" s="1" t="str">
        <f t="shared" ca="1" si="4"/>
        <v>Open</v>
      </c>
      <c r="C282" s="1" t="s">
        <v>2771</v>
      </c>
      <c r="D282" s="1" t="s">
        <v>2165</v>
      </c>
      <c r="E282" s="1" t="s">
        <v>2166</v>
      </c>
      <c r="F282" s="1" t="s">
        <v>2167</v>
      </c>
      <c r="G282" s="1" t="s">
        <v>2168</v>
      </c>
      <c r="H282" s="24">
        <v>44889</v>
      </c>
      <c r="I282" s="1"/>
      <c r="J282" s="1">
        <v>49.460265</v>
      </c>
      <c r="K282" s="1">
        <v>105.967765</v>
      </c>
      <c r="L282" s="20">
        <v>0.29166666666666669</v>
      </c>
      <c r="M282" s="20">
        <v>8.3333333333333329E-2</v>
      </c>
      <c r="N282" s="1">
        <v>0.60209234866793315</v>
      </c>
      <c r="O282" s="1">
        <v>98.960579932451424</v>
      </c>
      <c r="P282" s="1">
        <v>0.70412368236190825</v>
      </c>
      <c r="Q282" s="1">
        <v>49.032251909529101</v>
      </c>
      <c r="R282" s="1">
        <v>0.64381266305555551</v>
      </c>
      <c r="S282" s="1">
        <v>92.737759259259249</v>
      </c>
      <c r="T282" s="1">
        <v>0.59221859591397852</v>
      </c>
      <c r="U282" s="1">
        <v>45.714539784946226</v>
      </c>
      <c r="V282" s="1">
        <v>0.60855476097940508</v>
      </c>
      <c r="W282" s="1">
        <v>96.612571319603362</v>
      </c>
      <c r="X282" s="1">
        <v>0.70810543111541191</v>
      </c>
      <c r="Y282" s="1">
        <v>41.615183512544796</v>
      </c>
      <c r="Z282" s="1">
        <v>0.43157480572716106</v>
      </c>
      <c r="AA282" s="1">
        <v>81.436006929087412</v>
      </c>
      <c r="AB282" s="1">
        <v>0.49170069922130066</v>
      </c>
      <c r="AC282" s="1">
        <v>36.711641474654378</v>
      </c>
    </row>
    <row r="283" spans="1:29" x14ac:dyDescent="0.2">
      <c r="A283" s="1" t="s">
        <v>1104</v>
      </c>
      <c r="B283" s="1" t="str">
        <f t="shared" ca="1" si="4"/>
        <v>Open</v>
      </c>
      <c r="C283" s="1" t="s">
        <v>2770</v>
      </c>
      <c r="D283" s="1" t="s">
        <v>1105</v>
      </c>
      <c r="E283" s="1" t="s">
        <v>1106</v>
      </c>
      <c r="F283" s="1" t="s">
        <v>28</v>
      </c>
      <c r="G283" s="1" t="s">
        <v>1107</v>
      </c>
      <c r="H283" s="24">
        <v>44888</v>
      </c>
      <c r="I283" s="1"/>
      <c r="J283" s="1">
        <v>47.924973000000001</v>
      </c>
      <c r="K283" s="1">
        <v>106.868962</v>
      </c>
      <c r="L283" s="20">
        <v>0.29166666666666669</v>
      </c>
      <c r="M283" s="20">
        <v>0.99930555555555556</v>
      </c>
      <c r="N283" s="1">
        <v>0.50269087182824312</v>
      </c>
      <c r="O283" s="1">
        <v>71.147479905033222</v>
      </c>
      <c r="P283" s="1">
        <v>0.78035172010358433</v>
      </c>
      <c r="Q283" s="1">
        <v>46.022369892473115</v>
      </c>
      <c r="R283" s="1">
        <v>0.46861150771367527</v>
      </c>
      <c r="S283" s="1">
        <v>70.054117283950617</v>
      </c>
      <c r="T283" s="1">
        <v>0.67598969722616487</v>
      </c>
      <c r="U283" s="1">
        <v>45.919057347670254</v>
      </c>
      <c r="V283" s="1">
        <v>0.40597988158964854</v>
      </c>
      <c r="W283" s="1">
        <v>51.2970295156695</v>
      </c>
      <c r="X283" s="1">
        <v>0.46591177908207887</v>
      </c>
      <c r="Y283" s="1">
        <v>25.208678136200717</v>
      </c>
      <c r="Z283" s="1">
        <v>0.31205876018376072</v>
      </c>
      <c r="AA283" s="1">
        <v>49.747104112473671</v>
      </c>
      <c r="AB283" s="1">
        <v>0.44795071578729012</v>
      </c>
      <c r="AC283" s="1">
        <v>31.56370567826686</v>
      </c>
    </row>
    <row r="284" spans="1:29" x14ac:dyDescent="0.2">
      <c r="A284" s="1" t="s">
        <v>1108</v>
      </c>
      <c r="B284" s="1" t="str">
        <f t="shared" ca="1" si="4"/>
        <v>Open</v>
      </c>
      <c r="C284" s="1" t="s">
        <v>2770</v>
      </c>
      <c r="D284" s="1" t="s">
        <v>1109</v>
      </c>
      <c r="E284" s="1" t="s">
        <v>1110</v>
      </c>
      <c r="F284" s="1" t="s">
        <v>48</v>
      </c>
      <c r="G284" s="1" t="s">
        <v>1111</v>
      </c>
      <c r="H284" s="24">
        <v>44892</v>
      </c>
      <c r="I284" s="1"/>
      <c r="J284" s="1">
        <v>47.911268</v>
      </c>
      <c r="K284" s="1">
        <v>106.950384</v>
      </c>
      <c r="L284" s="20">
        <v>0</v>
      </c>
      <c r="M284" s="20">
        <v>0.99930555555555556</v>
      </c>
      <c r="N284" s="1">
        <v>0.64941808390134848</v>
      </c>
      <c r="O284" s="1">
        <v>103.74808360873698</v>
      </c>
      <c r="P284" s="1">
        <v>0.81543514677598583</v>
      </c>
      <c r="Q284" s="1">
        <v>37.39989784946237</v>
      </c>
      <c r="R284" s="1">
        <v>0.51565204909354223</v>
      </c>
      <c r="S284" s="1">
        <v>73.347262583095912</v>
      </c>
      <c r="T284" s="1">
        <v>0.80703195742114708</v>
      </c>
      <c r="U284" s="1">
        <v>28.78380143369176</v>
      </c>
      <c r="V284" s="1">
        <v>0.74059770577890094</v>
      </c>
      <c r="W284" s="1">
        <v>108.90855164835165</v>
      </c>
      <c r="X284" s="1">
        <v>0.90060561846480258</v>
      </c>
      <c r="Y284" s="1">
        <v>45.151579569892483</v>
      </c>
      <c r="Z284" s="1">
        <v>0.51689675518350164</v>
      </c>
      <c r="AA284" s="1">
        <v>87.255398428731766</v>
      </c>
      <c r="AB284" s="1">
        <v>0.58110995020007694</v>
      </c>
      <c r="AC284" s="1">
        <v>31.896173195084483</v>
      </c>
    </row>
    <row r="285" spans="1:29" x14ac:dyDescent="0.2">
      <c r="A285" s="1" t="s">
        <v>1112</v>
      </c>
      <c r="B285" s="1" t="str">
        <f t="shared" ca="1" si="4"/>
        <v>Open</v>
      </c>
      <c r="C285" s="1" t="s">
        <v>2770</v>
      </c>
      <c r="D285" s="1" t="s">
        <v>1113</v>
      </c>
      <c r="E285" s="1" t="s">
        <v>1114</v>
      </c>
      <c r="F285" s="1" t="s">
        <v>64</v>
      </c>
      <c r="G285" s="1" t="s">
        <v>1115</v>
      </c>
      <c r="H285" s="24">
        <v>44895</v>
      </c>
      <c r="I285" s="1"/>
      <c r="J285" s="1">
        <v>47.902061000000003</v>
      </c>
      <c r="K285" s="1">
        <v>106.900992</v>
      </c>
      <c r="L285" s="20">
        <v>0</v>
      </c>
      <c r="M285" s="20">
        <v>0.99930555555555556</v>
      </c>
      <c r="N285" s="1">
        <v>0.54882155431006652</v>
      </c>
      <c r="O285" s="1">
        <v>95.818911149097815</v>
      </c>
      <c r="P285" s="1">
        <v>0.62159736756845885</v>
      </c>
      <c r="Q285" s="1">
        <v>31.761430465949832</v>
      </c>
      <c r="R285" s="1">
        <v>0.52169096432858508</v>
      </c>
      <c r="S285" s="1">
        <v>86.378567426400764</v>
      </c>
      <c r="T285" s="1">
        <v>0.66221248799677401</v>
      </c>
      <c r="U285" s="1">
        <v>35.157993906810042</v>
      </c>
      <c r="V285" s="1">
        <v>0.64241499138083569</v>
      </c>
      <c r="W285" s="1">
        <v>112.45101743589743</v>
      </c>
      <c r="X285" s="1">
        <v>0.72442723590788549</v>
      </c>
      <c r="Y285" s="1">
        <v>36.070572401433694</v>
      </c>
      <c r="Z285" s="1">
        <v>0.48279979222329567</v>
      </c>
      <c r="AA285" s="1">
        <v>93.866908212560375</v>
      </c>
      <c r="AB285" s="1">
        <v>0.33758416141781877</v>
      </c>
      <c r="AC285" s="1">
        <v>25.641030773169479</v>
      </c>
    </row>
    <row r="286" spans="1:29" x14ac:dyDescent="0.2">
      <c r="A286" s="1" t="s">
        <v>1116</v>
      </c>
      <c r="B286" s="1" t="str">
        <f t="shared" ca="1" si="4"/>
        <v>Open</v>
      </c>
      <c r="C286" s="1" t="s">
        <v>2770</v>
      </c>
      <c r="D286" s="1" t="s">
        <v>1117</v>
      </c>
      <c r="E286" s="1" t="s">
        <v>1118</v>
      </c>
      <c r="F286" s="1" t="s">
        <v>11</v>
      </c>
      <c r="G286" s="1" t="s">
        <v>1119</v>
      </c>
      <c r="H286" s="24">
        <v>44887</v>
      </c>
      <c r="I286" s="1"/>
      <c r="J286" s="1">
        <v>47.956527000000001</v>
      </c>
      <c r="K286" s="1">
        <v>106.91598399999999</v>
      </c>
      <c r="L286" s="20">
        <v>0</v>
      </c>
      <c r="M286" s="20">
        <v>0.99930555555555556</v>
      </c>
      <c r="N286" s="1">
        <v>0.56494087732140552</v>
      </c>
      <c r="O286" s="1">
        <v>95.121629781576459</v>
      </c>
      <c r="P286" s="1">
        <v>0.82706342814874534</v>
      </c>
      <c r="Q286" s="1">
        <v>35.030026164874556</v>
      </c>
      <c r="R286" s="1">
        <v>0.71315367038651478</v>
      </c>
      <c r="S286" s="1">
        <v>98.786907407407412</v>
      </c>
      <c r="T286" s="1">
        <v>0.65539962834838705</v>
      </c>
      <c r="U286" s="1">
        <v>35.448966666666678</v>
      </c>
      <c r="V286" s="1">
        <v>0.89650898896685671</v>
      </c>
      <c r="W286" s="1">
        <v>125.17196552706552</v>
      </c>
      <c r="X286" s="1">
        <v>0.83171322833978512</v>
      </c>
      <c r="Y286" s="1">
        <v>38.25107060931898</v>
      </c>
      <c r="Z286" s="1">
        <v>0.44225283966076218</v>
      </c>
      <c r="AA286" s="1">
        <v>78.899510466988716</v>
      </c>
      <c r="AB286" s="1">
        <v>0.36994950748118277</v>
      </c>
      <c r="AC286" s="1">
        <v>24.872175883256531</v>
      </c>
    </row>
    <row r="287" spans="1:29" x14ac:dyDescent="0.2">
      <c r="A287" s="1" t="s">
        <v>1120</v>
      </c>
      <c r="B287" s="1" t="str">
        <f t="shared" ca="1" si="4"/>
        <v>Closed</v>
      </c>
      <c r="C287" s="1" t="s">
        <v>2770</v>
      </c>
      <c r="D287" s="1" t="s">
        <v>1121</v>
      </c>
      <c r="E287" s="1" t="s">
        <v>1122</v>
      </c>
      <c r="F287" s="1" t="s">
        <v>48</v>
      </c>
      <c r="G287" s="1" t="s">
        <v>1123</v>
      </c>
      <c r="H287" s="24">
        <v>44890</v>
      </c>
      <c r="I287" s="24">
        <v>45821</v>
      </c>
      <c r="J287" s="1">
        <v>47.940800000000003</v>
      </c>
      <c r="K287" s="1">
        <v>106.93208</v>
      </c>
      <c r="L287" s="20">
        <v>0</v>
      </c>
      <c r="M287" s="20">
        <v>0.99930555555555556</v>
      </c>
      <c r="N287" s="1">
        <v>0.73639092957822683</v>
      </c>
      <c r="O287" s="1">
        <v>120.83034189340572</v>
      </c>
      <c r="P287" s="1">
        <v>1.0305683280225519</v>
      </c>
      <c r="Q287" s="1">
        <v>50.741335744455974</v>
      </c>
      <c r="R287" s="1">
        <v>0.53294882023060186</v>
      </c>
      <c r="S287" s="1">
        <v>74.961299930083456</v>
      </c>
      <c r="T287" s="1">
        <v>0.58298367300296228</v>
      </c>
      <c r="U287" s="1">
        <v>33.407217467300285</v>
      </c>
      <c r="V287" s="1">
        <v>0.71451341773038413</v>
      </c>
      <c r="W287" s="1">
        <v>102.11489166547658</v>
      </c>
      <c r="X287" s="1">
        <v>0.80893709905823696</v>
      </c>
      <c r="Y287" s="1">
        <v>41.341646011940021</v>
      </c>
      <c r="Z287" s="1">
        <v>0.61668712407906823</v>
      </c>
      <c r="AA287" s="1">
        <v>111.42882484304808</v>
      </c>
      <c r="AB287" s="1">
        <v>0.75426453629546997</v>
      </c>
      <c r="AC287" s="1">
        <v>41.5584292989384</v>
      </c>
    </row>
    <row r="288" spans="1:29" x14ac:dyDescent="0.2">
      <c r="A288" s="1" t="s">
        <v>1124</v>
      </c>
      <c r="B288" s="1" t="str">
        <f t="shared" ca="1" si="4"/>
        <v>Open</v>
      </c>
      <c r="C288" s="1" t="s">
        <v>2770</v>
      </c>
      <c r="D288" s="1" t="s">
        <v>1125</v>
      </c>
      <c r="E288" s="1" t="s">
        <v>1126</v>
      </c>
      <c r="F288" s="1" t="s">
        <v>33</v>
      </c>
      <c r="G288" s="1" t="s">
        <v>1127</v>
      </c>
      <c r="H288" s="24">
        <v>44910</v>
      </c>
      <c r="I288" s="1"/>
      <c r="J288" s="1">
        <v>47.919735000000003</v>
      </c>
      <c r="K288" s="1">
        <v>106.899753</v>
      </c>
      <c r="L288" s="20">
        <v>0</v>
      </c>
      <c r="M288" s="20">
        <v>0.99930555555555556</v>
      </c>
      <c r="N288" s="1">
        <v>0.6247069862267427</v>
      </c>
      <c r="O288" s="1">
        <v>110.75390835707502</v>
      </c>
      <c r="P288" s="1">
        <v>0.74201390850573468</v>
      </c>
      <c r="Q288" s="1">
        <v>51.452054480286733</v>
      </c>
      <c r="R288" s="1">
        <v>0.62250998167331428</v>
      </c>
      <c r="S288" s="1">
        <v>98.276942545109208</v>
      </c>
      <c r="T288" s="1">
        <v>0.74880025925627258</v>
      </c>
      <c r="U288" s="1">
        <v>49.707468458781364</v>
      </c>
      <c r="V288" s="1">
        <v>0.84611724762636753</v>
      </c>
      <c r="W288" s="1">
        <v>132.38845059829058</v>
      </c>
      <c r="X288" s="1">
        <v>0.96227259753961947</v>
      </c>
      <c r="Y288" s="1">
        <v>61.916835346015993</v>
      </c>
      <c r="Z288" s="1">
        <v>0.52313149196581199</v>
      </c>
      <c r="AA288" s="1">
        <v>98.749113960113959</v>
      </c>
      <c r="AB288" s="1">
        <v>0.60832399030277762</v>
      </c>
      <c r="AC288" s="1">
        <v>47.657905555555551</v>
      </c>
    </row>
    <row r="289" spans="1:29" x14ac:dyDescent="0.2">
      <c r="A289" s="1" t="s">
        <v>1128</v>
      </c>
      <c r="B289" s="1" t="str">
        <f t="shared" ca="1" si="4"/>
        <v>Open</v>
      </c>
      <c r="C289" s="1" t="s">
        <v>2770</v>
      </c>
      <c r="D289" s="1" t="s">
        <v>1129</v>
      </c>
      <c r="E289" s="1" t="s">
        <v>1130</v>
      </c>
      <c r="F289" s="1" t="s">
        <v>48</v>
      </c>
      <c r="G289" s="1" t="s">
        <v>1131</v>
      </c>
      <c r="H289" s="24">
        <v>44953</v>
      </c>
      <c r="I289" s="1"/>
      <c r="J289" s="1">
        <v>47.904831999999999</v>
      </c>
      <c r="K289" s="1">
        <v>106.936168</v>
      </c>
      <c r="L289" s="20">
        <v>0</v>
      </c>
      <c r="M289" s="20">
        <v>0.99930555555555556</v>
      </c>
      <c r="N289" s="1">
        <v>0.57616806770377982</v>
      </c>
      <c r="O289" s="1">
        <v>113.86147306742639</v>
      </c>
      <c r="P289" s="1">
        <v>1.1488513813175627</v>
      </c>
      <c r="Q289" s="1">
        <v>36.753565232974914</v>
      </c>
      <c r="R289" s="1">
        <v>0.66346727306030395</v>
      </c>
      <c r="S289" s="1">
        <v>115.76533238366569</v>
      </c>
      <c r="T289" s="1">
        <v>0.83404009504623666</v>
      </c>
      <c r="U289" s="1">
        <v>34.178620071684598</v>
      </c>
      <c r="V289" s="1">
        <v>0.62582063619737882</v>
      </c>
      <c r="W289" s="1">
        <v>112.95682879392211</v>
      </c>
      <c r="X289" s="1">
        <v>1.0630783017605738</v>
      </c>
      <c r="Y289" s="1">
        <v>39.208602508960574</v>
      </c>
      <c r="Z289" s="1">
        <v>0.59355906931293612</v>
      </c>
      <c r="AA289" s="1">
        <v>141.03538325281804</v>
      </c>
      <c r="AB289" s="1">
        <v>0.61356812393509974</v>
      </c>
      <c r="AC289" s="1">
        <v>31.027930875576043</v>
      </c>
    </row>
    <row r="290" spans="1:29" x14ac:dyDescent="0.2">
      <c r="A290" s="1" t="s">
        <v>1132</v>
      </c>
      <c r="B290" s="1" t="str">
        <f t="shared" ca="1" si="4"/>
        <v>Open</v>
      </c>
      <c r="C290" s="1" t="s">
        <v>2770</v>
      </c>
      <c r="D290" s="1" t="s">
        <v>1133</v>
      </c>
      <c r="E290" s="1" t="s">
        <v>1134</v>
      </c>
      <c r="F290" s="1" t="s">
        <v>64</v>
      </c>
      <c r="G290" s="1" t="s">
        <v>1135</v>
      </c>
      <c r="H290" s="24">
        <v>44900</v>
      </c>
      <c r="I290" s="1"/>
      <c r="J290" s="1">
        <v>47.855980000000002</v>
      </c>
      <c r="K290" s="1">
        <v>106.78715800000001</v>
      </c>
      <c r="L290" s="20">
        <v>0</v>
      </c>
      <c r="M290" s="20">
        <v>0.99930555555555556</v>
      </c>
      <c r="N290" s="1">
        <v>1.1944416717254274</v>
      </c>
      <c r="O290" s="1">
        <v>194.95686752136757</v>
      </c>
      <c r="P290" s="1">
        <v>0.93520384684444424</v>
      </c>
      <c r="Q290" s="1">
        <v>47.426566666666666</v>
      </c>
      <c r="R290" s="1">
        <v>1.2662996639123076</v>
      </c>
      <c r="S290" s="1">
        <v>167.55103230769231</v>
      </c>
      <c r="T290" s="1">
        <v>1.0435684493096036</v>
      </c>
      <c r="U290" s="1">
        <v>50.108550982573227</v>
      </c>
      <c r="V290" s="1">
        <v>1.5371814382847864</v>
      </c>
      <c r="W290" s="1">
        <v>210.18159025641032</v>
      </c>
      <c r="X290" s="1">
        <v>0.98973718299031033</v>
      </c>
      <c r="Y290" s="1">
        <v>49.509882326041271</v>
      </c>
      <c r="Z290" s="1">
        <v>0.92903567541582477</v>
      </c>
      <c r="AA290" s="1">
        <v>158.62141975308643</v>
      </c>
      <c r="AB290" s="1">
        <v>0.84822998964746554</v>
      </c>
      <c r="AC290" s="1">
        <v>40.931561443932416</v>
      </c>
    </row>
    <row r="291" spans="1:29" x14ac:dyDescent="0.2">
      <c r="A291" s="1" t="s">
        <v>2169</v>
      </c>
      <c r="B291" s="1" t="str">
        <f t="shared" ca="1" si="4"/>
        <v>Open</v>
      </c>
      <c r="C291" s="1" t="s">
        <v>2771</v>
      </c>
      <c r="D291" s="1" t="s">
        <v>2170</v>
      </c>
      <c r="E291" s="1" t="s">
        <v>2171</v>
      </c>
      <c r="F291" s="1" t="s">
        <v>2172</v>
      </c>
      <c r="G291" s="1" t="s">
        <v>2173</v>
      </c>
      <c r="H291" s="24">
        <v>45009</v>
      </c>
      <c r="I291" s="1"/>
      <c r="J291" s="1">
        <v>48.225149000000002</v>
      </c>
      <c r="K291" s="1">
        <v>106.29109200000001</v>
      </c>
      <c r="L291" s="20">
        <v>0</v>
      </c>
      <c r="M291" s="20">
        <v>0.99930555555555556</v>
      </c>
      <c r="N291" s="1">
        <v>0.5508430146617509</v>
      </c>
      <c r="O291" s="1">
        <v>75.139743771043769</v>
      </c>
      <c r="P291" s="1">
        <v>0.3995092285541218</v>
      </c>
      <c r="Q291" s="1">
        <v>26.974716487455197</v>
      </c>
      <c r="R291" s="1">
        <v>0.62872990690437713</v>
      </c>
      <c r="S291" s="1">
        <v>66.614183333333315</v>
      </c>
      <c r="T291" s="1">
        <v>0.44309838374623656</v>
      </c>
      <c r="U291" s="1">
        <v>26.900441577060931</v>
      </c>
      <c r="V291" s="1">
        <v>1.0261198847094277</v>
      </c>
      <c r="W291" s="1">
        <v>115.84057457912461</v>
      </c>
      <c r="X291" s="1">
        <v>0.63733713294014338</v>
      </c>
      <c r="Y291" s="1">
        <v>44.497026881720423</v>
      </c>
      <c r="Z291" s="1">
        <v>0.53753730711695902</v>
      </c>
      <c r="AA291" s="1">
        <v>74.472001559454199</v>
      </c>
      <c r="AB291" s="1">
        <v>0.22069975624039939</v>
      </c>
      <c r="AC291" s="1">
        <v>18.927619431643631</v>
      </c>
    </row>
    <row r="292" spans="1:29" x14ac:dyDescent="0.2">
      <c r="A292" s="1" t="s">
        <v>1136</v>
      </c>
      <c r="B292" s="1" t="str">
        <f t="shared" ca="1" si="4"/>
        <v>Open</v>
      </c>
      <c r="C292" s="1" t="s">
        <v>2770</v>
      </c>
      <c r="D292" s="1" t="s">
        <v>1137</v>
      </c>
      <c r="E292" s="1" t="s">
        <v>1138</v>
      </c>
      <c r="F292" s="1" t="s">
        <v>64</v>
      </c>
      <c r="G292" s="1" t="s">
        <v>1139</v>
      </c>
      <c r="H292" s="24">
        <v>44900</v>
      </c>
      <c r="I292" s="1"/>
      <c r="J292" s="1">
        <v>47.879401999999999</v>
      </c>
      <c r="K292" s="1">
        <v>106.855558</v>
      </c>
      <c r="L292" s="20">
        <v>0</v>
      </c>
      <c r="M292" s="20">
        <v>0.99930555555555556</v>
      </c>
      <c r="N292" s="1">
        <v>1.1329672284981578</v>
      </c>
      <c r="O292" s="1">
        <v>192.3223968091169</v>
      </c>
      <c r="P292" s="1">
        <v>1.9170385312304659</v>
      </c>
      <c r="Q292" s="1">
        <v>77.418872401433703</v>
      </c>
      <c r="R292" s="1">
        <v>1.1961427117094019</v>
      </c>
      <c r="S292" s="1">
        <v>196.13983416945374</v>
      </c>
      <c r="T292" s="1">
        <v>1.5961439321330244</v>
      </c>
      <c r="U292" s="1">
        <v>73.782471004820152</v>
      </c>
      <c r="V292" s="1">
        <v>1.4010357058868186</v>
      </c>
      <c r="W292" s="1">
        <v>239.59469868945868</v>
      </c>
      <c r="X292" s="1">
        <v>2.0002072366437278</v>
      </c>
      <c r="Y292" s="1">
        <v>78.527569892473139</v>
      </c>
      <c r="Z292" s="1">
        <v>0.81461970810896389</v>
      </c>
      <c r="AA292" s="1">
        <v>142.50036500268379</v>
      </c>
      <c r="AB292" s="1">
        <v>1.4634903613241164</v>
      </c>
      <c r="AC292" s="1">
        <v>63.604413978494613</v>
      </c>
    </row>
    <row r="293" spans="1:29" x14ac:dyDescent="0.2">
      <c r="A293" s="1" t="s">
        <v>1140</v>
      </c>
      <c r="B293" s="1" t="str">
        <f t="shared" ca="1" si="4"/>
        <v>Open</v>
      </c>
      <c r="C293" s="1" t="s">
        <v>2770</v>
      </c>
      <c r="D293" s="1" t="s">
        <v>1141</v>
      </c>
      <c r="E293" s="1" t="s">
        <v>1142</v>
      </c>
      <c r="F293" s="1" t="s">
        <v>33</v>
      </c>
      <c r="G293" s="1" t="s">
        <v>1143</v>
      </c>
      <c r="H293" s="24">
        <v>44918</v>
      </c>
      <c r="I293" s="1"/>
      <c r="J293" s="1">
        <v>47.9215819</v>
      </c>
      <c r="K293" s="1">
        <v>106.904749</v>
      </c>
      <c r="L293" s="20">
        <v>0</v>
      </c>
      <c r="M293" s="20">
        <v>0.99930555555555556</v>
      </c>
      <c r="N293" s="1">
        <v>0.6369006201833618</v>
      </c>
      <c r="O293" s="1">
        <v>117.55401063627731</v>
      </c>
      <c r="P293" s="1">
        <v>0.90990686347240146</v>
      </c>
      <c r="Q293" s="1">
        <v>44.91440967741935</v>
      </c>
      <c r="R293" s="1">
        <v>0.57730950774216538</v>
      </c>
      <c r="S293" s="1">
        <v>93.52914719848053</v>
      </c>
      <c r="T293" s="1">
        <v>0.60431826714408599</v>
      </c>
      <c r="U293" s="1">
        <v>33.96948422939068</v>
      </c>
      <c r="V293" s="1">
        <v>0.64525626608191755</v>
      </c>
      <c r="W293" s="1">
        <v>102.77898158305466</v>
      </c>
      <c r="X293" s="1">
        <v>0.8617700909647551</v>
      </c>
      <c r="Y293" s="1">
        <v>42.242836200716845</v>
      </c>
      <c r="Z293" s="1">
        <v>0.55611639815432101</v>
      </c>
      <c r="AA293" s="1">
        <v>108.1599074074074</v>
      </c>
      <c r="AB293" s="1">
        <v>0.53897580107526888</v>
      </c>
      <c r="AC293" s="1">
        <v>33.408129032258067</v>
      </c>
    </row>
    <row r="294" spans="1:29" x14ac:dyDescent="0.2">
      <c r="A294" s="1" t="s">
        <v>1144</v>
      </c>
      <c r="B294" s="1" t="str">
        <f t="shared" ca="1" si="4"/>
        <v>Open</v>
      </c>
      <c r="C294" s="1" t="s">
        <v>2770</v>
      </c>
      <c r="D294" s="1" t="s">
        <v>1145</v>
      </c>
      <c r="E294" s="1" t="s">
        <v>1146</v>
      </c>
      <c r="F294" s="1" t="s">
        <v>64</v>
      </c>
      <c r="G294" s="1" t="s">
        <v>1147</v>
      </c>
      <c r="H294" s="24">
        <v>44900</v>
      </c>
      <c r="I294" s="1"/>
      <c r="J294" s="1">
        <v>47.901539</v>
      </c>
      <c r="K294" s="1">
        <v>106.912262</v>
      </c>
      <c r="L294" s="20">
        <v>0.29166666666666669</v>
      </c>
      <c r="M294" s="20">
        <v>0.99930555555555556</v>
      </c>
      <c r="N294" s="1">
        <v>0.37879236315840453</v>
      </c>
      <c r="O294" s="1">
        <v>66.755173713200392</v>
      </c>
      <c r="P294" s="1">
        <v>0.63906100034444446</v>
      </c>
      <c r="Q294" s="1">
        <v>26.332770967741933</v>
      </c>
      <c r="R294" s="1">
        <v>0.45443042249620141</v>
      </c>
      <c r="S294" s="1">
        <v>69.902266856600193</v>
      </c>
      <c r="T294" s="1">
        <v>0.56496412039569888</v>
      </c>
      <c r="U294" s="1">
        <v>25.298522222222221</v>
      </c>
      <c r="V294" s="1">
        <v>0.57286606233827164</v>
      </c>
      <c r="W294" s="1">
        <v>89.7686982526116</v>
      </c>
      <c r="X294" s="1">
        <v>1.0544283157870968</v>
      </c>
      <c r="Y294" s="1">
        <v>35.583913620071691</v>
      </c>
      <c r="Z294" s="1">
        <v>0.26200429170707068</v>
      </c>
      <c r="AA294" s="1">
        <v>47.302938832772163</v>
      </c>
      <c r="AB294" s="1">
        <v>0.4999144068506145</v>
      </c>
      <c r="AC294" s="1">
        <v>19.533079493087559</v>
      </c>
    </row>
    <row r="295" spans="1:29" x14ac:dyDescent="0.2">
      <c r="A295" s="1" t="s">
        <v>1148</v>
      </c>
      <c r="B295" s="1" t="str">
        <f t="shared" ca="1" si="4"/>
        <v>Open</v>
      </c>
      <c r="C295" s="1" t="s">
        <v>2770</v>
      </c>
      <c r="D295" s="1" t="s">
        <v>1149</v>
      </c>
      <c r="E295" s="1" t="s">
        <v>1150</v>
      </c>
      <c r="F295" s="1" t="s">
        <v>64</v>
      </c>
      <c r="G295" s="1" t="s">
        <v>1151</v>
      </c>
      <c r="H295" s="24">
        <v>44925</v>
      </c>
      <c r="I295" s="1"/>
      <c r="J295" s="1">
        <v>47.881605999999998</v>
      </c>
      <c r="K295" s="1">
        <v>106.853111</v>
      </c>
      <c r="L295" s="20">
        <v>0.29166666666666669</v>
      </c>
      <c r="M295" s="20">
        <v>0.99930555555555556</v>
      </c>
      <c r="N295" s="1">
        <v>0.42335166114594491</v>
      </c>
      <c r="O295" s="1">
        <v>68.144931813865156</v>
      </c>
      <c r="P295" s="1">
        <v>1.8235443366025084</v>
      </c>
      <c r="Q295" s="1">
        <v>43.093314695340503</v>
      </c>
      <c r="R295" s="1">
        <v>0.39474682494919278</v>
      </c>
      <c r="S295" s="1">
        <v>57.388177587844261</v>
      </c>
      <c r="T295" s="1">
        <v>1.1332139323200716</v>
      </c>
      <c r="U295" s="1">
        <v>37.769717921146963</v>
      </c>
      <c r="V295" s="1">
        <v>0.56282795894503324</v>
      </c>
      <c r="W295" s="1">
        <v>86.277726951566947</v>
      </c>
      <c r="X295" s="1">
        <v>1.227675186148387</v>
      </c>
      <c r="Y295" s="1">
        <v>40.650197849462366</v>
      </c>
      <c r="Z295" s="1">
        <v>0.30690749924422972</v>
      </c>
      <c r="AA295" s="1">
        <v>53.597406870638757</v>
      </c>
      <c r="AB295" s="1">
        <v>0.93790437710115493</v>
      </c>
      <c r="AC295" s="1">
        <v>32.065858223815219</v>
      </c>
    </row>
    <row r="296" spans="1:29" x14ac:dyDescent="0.2">
      <c r="A296" s="1" t="s">
        <v>2174</v>
      </c>
      <c r="B296" s="1" t="str">
        <f t="shared" ca="1" si="4"/>
        <v>Open</v>
      </c>
      <c r="C296" s="1" t="s">
        <v>2771</v>
      </c>
      <c r="D296" s="1" t="s">
        <v>2175</v>
      </c>
      <c r="E296" s="1" t="s">
        <v>2176</v>
      </c>
      <c r="F296" s="1" t="s">
        <v>2167</v>
      </c>
      <c r="G296" s="1" t="s">
        <v>2177</v>
      </c>
      <c r="H296" s="24">
        <v>44947</v>
      </c>
      <c r="I296" s="1"/>
      <c r="J296" s="1">
        <v>49.461910000000003</v>
      </c>
      <c r="K296" s="1">
        <v>105.95310600000001</v>
      </c>
      <c r="L296" s="20">
        <v>0</v>
      </c>
      <c r="M296" s="20">
        <v>0.99930555555555556</v>
      </c>
      <c r="N296" s="1">
        <v>1.109630983117023</v>
      </c>
      <c r="O296" s="1">
        <v>197.65746256684494</v>
      </c>
      <c r="P296" s="1">
        <v>1.1289718857931896</v>
      </c>
      <c r="Q296" s="1">
        <v>71.499938709677409</v>
      </c>
      <c r="R296" s="1">
        <v>1.1522436876838666</v>
      </c>
      <c r="S296" s="1">
        <v>183.06514138286897</v>
      </c>
      <c r="T296" s="1">
        <v>1.2237298271401433</v>
      </c>
      <c r="U296" s="1">
        <v>78.448128315412205</v>
      </c>
      <c r="V296" s="1">
        <v>1.8285418098226549</v>
      </c>
      <c r="W296" s="1">
        <v>282.31865021645024</v>
      </c>
      <c r="X296" s="1">
        <v>1.6768782271394265</v>
      </c>
      <c r="Y296" s="1">
        <v>95.411235125448016</v>
      </c>
      <c r="Z296" s="1">
        <v>0.93698966414723073</v>
      </c>
      <c r="AA296" s="1">
        <v>176.49256164922113</v>
      </c>
      <c r="AB296" s="1">
        <v>1.0440135612442398</v>
      </c>
      <c r="AC296" s="1">
        <v>57.883124039938558</v>
      </c>
    </row>
    <row r="297" spans="1:29" x14ac:dyDescent="0.2">
      <c r="A297" s="1" t="s">
        <v>1152</v>
      </c>
      <c r="B297" s="1" t="str">
        <f t="shared" ca="1" si="4"/>
        <v>Open</v>
      </c>
      <c r="C297" s="1" t="s">
        <v>2770</v>
      </c>
      <c r="D297" s="1" t="s">
        <v>1153</v>
      </c>
      <c r="E297" s="1" t="s">
        <v>1154</v>
      </c>
      <c r="F297" s="1" t="s">
        <v>33</v>
      </c>
      <c r="G297" s="1" t="s">
        <v>1155</v>
      </c>
      <c r="H297" s="24">
        <v>44953</v>
      </c>
      <c r="I297" s="1"/>
      <c r="J297" s="1">
        <v>47.919451000000002</v>
      </c>
      <c r="K297" s="1">
        <v>106.91536000000001</v>
      </c>
      <c r="L297" s="20">
        <v>0.29166666666666669</v>
      </c>
      <c r="M297" s="20">
        <v>0.99930555555555556</v>
      </c>
      <c r="N297" s="1">
        <v>0.665989869277265</v>
      </c>
      <c r="O297" s="1">
        <v>114.60326611585943</v>
      </c>
      <c r="P297" s="1">
        <v>1.4968881731308243</v>
      </c>
      <c r="Q297" s="1">
        <v>53.480624014336918</v>
      </c>
      <c r="R297" s="1">
        <v>0.78466291030151947</v>
      </c>
      <c r="S297" s="1">
        <v>126.84994539411205</v>
      </c>
      <c r="T297" s="1">
        <v>1.3585131603906808</v>
      </c>
      <c r="U297" s="1">
        <v>50.052362007168455</v>
      </c>
      <c r="V297" s="1">
        <v>0.80595635268723642</v>
      </c>
      <c r="W297" s="1">
        <v>133.44679829059831</v>
      </c>
      <c r="X297" s="1">
        <v>1.7681994137706607</v>
      </c>
      <c r="Y297" s="1">
        <v>55.404874910394277</v>
      </c>
      <c r="Z297" s="1">
        <v>0.54622728540374055</v>
      </c>
      <c r="AA297" s="1">
        <v>99.441844705882332</v>
      </c>
      <c r="AB297" s="1">
        <v>1.1759837815334635</v>
      </c>
      <c r="AC297" s="1">
        <v>44.94032955360052</v>
      </c>
    </row>
    <row r="298" spans="1:29" x14ac:dyDescent="0.2">
      <c r="A298" s="1" t="s">
        <v>1156</v>
      </c>
      <c r="B298" s="1" t="str">
        <f t="shared" ca="1" si="4"/>
        <v>Open</v>
      </c>
      <c r="C298" s="1" t="s">
        <v>2770</v>
      </c>
      <c r="D298" s="1" t="s">
        <v>1157</v>
      </c>
      <c r="E298" s="1" t="s">
        <v>1158</v>
      </c>
      <c r="F298" s="1" t="s">
        <v>28</v>
      </c>
      <c r="G298" s="1" t="s">
        <v>1159</v>
      </c>
      <c r="H298" s="24">
        <v>44965</v>
      </c>
      <c r="I298" s="1"/>
      <c r="J298" s="1">
        <v>47.927064999999999</v>
      </c>
      <c r="K298" s="1">
        <v>106.881209</v>
      </c>
      <c r="L298" s="20">
        <v>0</v>
      </c>
      <c r="M298" s="20">
        <v>0.99930555555555556</v>
      </c>
      <c r="N298" s="1">
        <v>0.96160781398862272</v>
      </c>
      <c r="O298" s="1">
        <v>156.13573044634379</v>
      </c>
      <c r="P298" s="1">
        <v>1.3087892086308239</v>
      </c>
      <c r="Q298" s="1">
        <v>62.496779569892482</v>
      </c>
      <c r="R298" s="1">
        <v>0.97378568427160472</v>
      </c>
      <c r="S298" s="1">
        <v>140.85037084520417</v>
      </c>
      <c r="T298" s="1">
        <v>1.3151753410673841</v>
      </c>
      <c r="U298" s="1">
        <v>63.386805017921148</v>
      </c>
      <c r="V298" s="1">
        <v>1.063358468813979</v>
      </c>
      <c r="W298" s="1">
        <v>149.94924780626783</v>
      </c>
      <c r="X298" s="1">
        <v>1.1892977823663082</v>
      </c>
      <c r="Y298" s="1">
        <v>57.112612903225823</v>
      </c>
      <c r="Z298" s="1">
        <v>0.87234543442941492</v>
      </c>
      <c r="AA298" s="1">
        <v>162.7870998389694</v>
      </c>
      <c r="AB298" s="1">
        <v>1.0040462212304146</v>
      </c>
      <c r="AC298" s="1">
        <v>50.743150921659002</v>
      </c>
    </row>
    <row r="299" spans="1:29" x14ac:dyDescent="0.2">
      <c r="A299" s="1" t="s">
        <v>1160</v>
      </c>
      <c r="B299" s="1" t="str">
        <f t="shared" ca="1" si="4"/>
        <v>Open</v>
      </c>
      <c r="C299" s="1" t="s">
        <v>2770</v>
      </c>
      <c r="D299" s="1" t="s">
        <v>1161</v>
      </c>
      <c r="E299" s="1" t="s">
        <v>1162</v>
      </c>
      <c r="F299" s="1" t="s">
        <v>33</v>
      </c>
      <c r="G299" s="1" t="s">
        <v>1163</v>
      </c>
      <c r="H299" s="24">
        <v>44993</v>
      </c>
      <c r="I299" s="1"/>
      <c r="J299" s="1">
        <v>48.048217999999999</v>
      </c>
      <c r="K299" s="1">
        <v>106.90016199999999</v>
      </c>
      <c r="L299" s="20">
        <v>0</v>
      </c>
      <c r="M299" s="20">
        <v>0.99930555555555556</v>
      </c>
      <c r="N299" s="1">
        <v>0.44069199454461527</v>
      </c>
      <c r="O299" s="1">
        <v>70.623583589743589</v>
      </c>
      <c r="P299" s="1">
        <v>0.58289888242724019</v>
      </c>
      <c r="Q299" s="1">
        <v>29.763320071684586</v>
      </c>
      <c r="R299" s="1">
        <v>0.41042646515372744</v>
      </c>
      <c r="S299" s="1">
        <v>59.952970441595447</v>
      </c>
      <c r="T299" s="1">
        <v>0.50688667186308234</v>
      </c>
      <c r="U299" s="1">
        <v>28.537358064516123</v>
      </c>
      <c r="V299" s="1">
        <v>0.79540065389291537</v>
      </c>
      <c r="W299" s="1">
        <v>120.0330798860399</v>
      </c>
      <c r="X299" s="1">
        <v>0.99160932977670246</v>
      </c>
      <c r="Y299" s="1">
        <v>51.86989354838709</v>
      </c>
      <c r="Z299" s="1">
        <v>0.35071804635519649</v>
      </c>
      <c r="AA299" s="1">
        <v>63.88137780022447</v>
      </c>
      <c r="AB299" s="1">
        <v>0.45019897532603687</v>
      </c>
      <c r="AC299" s="1">
        <v>26.787031105990781</v>
      </c>
    </row>
    <row r="300" spans="1:29" x14ac:dyDescent="0.2">
      <c r="A300" s="1" t="s">
        <v>1164</v>
      </c>
      <c r="B300" s="1" t="str">
        <f t="shared" ca="1" si="4"/>
        <v>Open</v>
      </c>
      <c r="C300" s="1" t="s">
        <v>2770</v>
      </c>
      <c r="D300" s="1" t="s">
        <v>1165</v>
      </c>
      <c r="E300" s="1" t="s">
        <v>1166</v>
      </c>
      <c r="F300" s="1" t="s">
        <v>48</v>
      </c>
      <c r="G300" s="1" t="s">
        <v>1167</v>
      </c>
      <c r="H300" s="24">
        <v>44947</v>
      </c>
      <c r="I300" s="1"/>
      <c r="J300" s="1">
        <v>47.928942999999997</v>
      </c>
      <c r="K300" s="1">
        <v>106.933836</v>
      </c>
      <c r="L300" s="20">
        <v>0</v>
      </c>
      <c r="M300" s="20">
        <v>0.99930555555555556</v>
      </c>
      <c r="N300" s="1">
        <v>0.63690348191416912</v>
      </c>
      <c r="O300" s="1">
        <v>105.46360032288699</v>
      </c>
      <c r="P300" s="1">
        <v>0.77883414779390681</v>
      </c>
      <c r="Q300" s="1">
        <v>32.740941218637992</v>
      </c>
      <c r="R300" s="1">
        <v>0.63316758333428291</v>
      </c>
      <c r="S300" s="1">
        <v>94.335475308641961</v>
      </c>
      <c r="T300" s="1">
        <v>0.69637901211182796</v>
      </c>
      <c r="U300" s="1">
        <v>35.497341218637992</v>
      </c>
      <c r="V300" s="1">
        <v>0.65361460615844258</v>
      </c>
      <c r="W300" s="1">
        <v>97.928779620132943</v>
      </c>
      <c r="X300" s="1">
        <v>0.73263672418530457</v>
      </c>
      <c r="Y300" s="1">
        <v>34.973457347670241</v>
      </c>
      <c r="Z300" s="1">
        <v>0.52954097761406327</v>
      </c>
      <c r="AA300" s="1">
        <v>99.695636070853467</v>
      </c>
      <c r="AB300" s="1">
        <v>0.57530224858410139</v>
      </c>
      <c r="AC300" s="1">
        <v>28.364577572964674</v>
      </c>
    </row>
    <row r="301" spans="1:29" x14ac:dyDescent="0.2">
      <c r="A301" s="1" t="s">
        <v>1168</v>
      </c>
      <c r="B301" s="1" t="str">
        <f t="shared" ca="1" si="4"/>
        <v>Open</v>
      </c>
      <c r="C301" s="1" t="s">
        <v>2770</v>
      </c>
      <c r="D301" s="1" t="s">
        <v>1169</v>
      </c>
      <c r="E301" s="1" t="s">
        <v>1170</v>
      </c>
      <c r="F301" s="1" t="s">
        <v>64</v>
      </c>
      <c r="G301" s="1" t="s">
        <v>1171</v>
      </c>
      <c r="H301" s="24">
        <v>44951</v>
      </c>
      <c r="I301" s="1"/>
      <c r="J301" s="1">
        <v>47.885147000000003</v>
      </c>
      <c r="K301" s="1">
        <v>106.91734099999999</v>
      </c>
      <c r="L301" s="20">
        <v>0.29166666666666669</v>
      </c>
      <c r="M301" s="20">
        <v>0.99930555555555556</v>
      </c>
      <c r="N301" s="1">
        <v>0.55965964085829578</v>
      </c>
      <c r="O301" s="1">
        <v>91.257783107088997</v>
      </c>
      <c r="P301" s="1">
        <v>0.92893311880191554</v>
      </c>
      <c r="Q301" s="1">
        <v>26.023828735632183</v>
      </c>
      <c r="R301" s="1">
        <v>0.42618918547361284</v>
      </c>
      <c r="S301" s="1">
        <v>57.879796228462901</v>
      </c>
      <c r="T301" s="1">
        <v>0.91796301468207864</v>
      </c>
      <c r="U301" s="1">
        <v>23.04884157706093</v>
      </c>
      <c r="V301" s="1">
        <v>0.36939245130609688</v>
      </c>
      <c r="W301" s="1">
        <v>47.923073884140543</v>
      </c>
      <c r="X301" s="1">
        <v>0.76556797046128999</v>
      </c>
      <c r="Y301" s="1">
        <v>26.321908243727602</v>
      </c>
      <c r="Z301" s="1">
        <v>0.30052300698076928</v>
      </c>
      <c r="AA301" s="1">
        <v>50.957944871794872</v>
      </c>
      <c r="AB301" s="1">
        <v>0.76632596971815159</v>
      </c>
      <c r="AC301" s="1">
        <v>17.98985002560164</v>
      </c>
    </row>
    <row r="302" spans="1:29" x14ac:dyDescent="0.2">
      <c r="A302" s="1" t="s">
        <v>1172</v>
      </c>
      <c r="B302" s="1" t="str">
        <f t="shared" ca="1" si="4"/>
        <v>Open</v>
      </c>
      <c r="C302" s="1" t="s">
        <v>2770</v>
      </c>
      <c r="D302" s="1" t="s">
        <v>1173</v>
      </c>
      <c r="E302" s="1" t="s">
        <v>1174</v>
      </c>
      <c r="F302" s="1" t="s">
        <v>64</v>
      </c>
      <c r="G302" s="1" t="s">
        <v>1175</v>
      </c>
      <c r="H302" s="24">
        <v>44957</v>
      </c>
      <c r="I302" s="1"/>
      <c r="J302" s="1">
        <v>47.899469000000003</v>
      </c>
      <c r="K302" s="1">
        <v>106.92670099999999</v>
      </c>
      <c r="L302" s="20">
        <v>0</v>
      </c>
      <c r="M302" s="20">
        <v>0.99930555555555556</v>
      </c>
      <c r="N302" s="1">
        <v>1.2764584476751184</v>
      </c>
      <c r="O302" s="1">
        <v>235.34500807217478</v>
      </c>
      <c r="P302" s="1">
        <v>1.9868618512039431</v>
      </c>
      <c r="Q302" s="1">
        <v>96.053629749103933</v>
      </c>
      <c r="R302" s="1">
        <v>1.3714139984468183</v>
      </c>
      <c r="S302" s="1">
        <v>218.04427587844259</v>
      </c>
      <c r="T302" s="1">
        <v>1.9382280285218638</v>
      </c>
      <c r="U302" s="1">
        <v>98.803530107526853</v>
      </c>
      <c r="V302" s="1">
        <v>1.7225263463703324</v>
      </c>
      <c r="W302" s="1">
        <v>274.74874341880343</v>
      </c>
      <c r="X302" s="1">
        <v>2.2033650137813621</v>
      </c>
      <c r="Y302" s="1">
        <v>105.46472688172048</v>
      </c>
      <c r="Z302" s="1">
        <v>1.1321943091867954</v>
      </c>
      <c r="AA302" s="1">
        <v>214.04533118625878</v>
      </c>
      <c r="AB302" s="1">
        <v>1.3942816132094782</v>
      </c>
      <c r="AC302" s="1">
        <v>83.99553683791315</v>
      </c>
    </row>
    <row r="303" spans="1:29" x14ac:dyDescent="0.2">
      <c r="A303" s="1" t="s">
        <v>1176</v>
      </c>
      <c r="B303" s="1" t="str">
        <f t="shared" ca="1" si="4"/>
        <v>Open</v>
      </c>
      <c r="C303" s="1" t="s">
        <v>2770</v>
      </c>
      <c r="D303" s="1" t="s">
        <v>1177</v>
      </c>
      <c r="E303" s="1" t="s">
        <v>1178</v>
      </c>
      <c r="F303" s="1" t="s">
        <v>28</v>
      </c>
      <c r="G303" s="1" t="s">
        <v>1179</v>
      </c>
      <c r="H303" s="24">
        <v>44972</v>
      </c>
      <c r="I303" s="1"/>
      <c r="J303" s="1">
        <v>47.9041225</v>
      </c>
      <c r="K303" s="1">
        <v>106.88216199999999</v>
      </c>
      <c r="L303" s="20">
        <v>0.29166666666666669</v>
      </c>
      <c r="M303" s="20">
        <v>0.99930555555555556</v>
      </c>
      <c r="N303" s="1">
        <v>0.42062429342978164</v>
      </c>
      <c r="O303" s="1">
        <v>72.18903109211773</v>
      </c>
      <c r="P303" s="1">
        <v>1.191706432271326</v>
      </c>
      <c r="Q303" s="1">
        <v>40.375539426523282</v>
      </c>
      <c r="R303" s="1">
        <v>0.39071195182383667</v>
      </c>
      <c r="S303" s="1">
        <v>58.021609686609679</v>
      </c>
      <c r="T303" s="1">
        <v>0.72660270998853027</v>
      </c>
      <c r="U303" s="1">
        <v>39.322744444444446</v>
      </c>
      <c r="V303" s="1">
        <v>0.43664687790471035</v>
      </c>
      <c r="W303" s="1">
        <v>67.685962488129164</v>
      </c>
      <c r="X303" s="1">
        <v>0.97584895158853036</v>
      </c>
      <c r="Y303" s="1">
        <v>40.470856630824365</v>
      </c>
      <c r="Z303" s="1">
        <v>0.33116997378904994</v>
      </c>
      <c r="AA303" s="1">
        <v>59.96830810520666</v>
      </c>
      <c r="AB303" s="1">
        <v>0.80461622372619024</v>
      </c>
      <c r="AC303" s="1">
        <v>33.670375192012294</v>
      </c>
    </row>
    <row r="304" spans="1:29" x14ac:dyDescent="0.2">
      <c r="A304" s="1" t="s">
        <v>1180</v>
      </c>
      <c r="B304" s="1" t="str">
        <f t="shared" ca="1" si="4"/>
        <v>Open</v>
      </c>
      <c r="C304" s="1" t="s">
        <v>2770</v>
      </c>
      <c r="D304" s="1" t="s">
        <v>1181</v>
      </c>
      <c r="E304" s="1" t="s">
        <v>1182</v>
      </c>
      <c r="F304" s="1" t="s">
        <v>48</v>
      </c>
      <c r="G304" s="1" t="s">
        <v>1183</v>
      </c>
      <c r="H304" s="24">
        <v>44955</v>
      </c>
      <c r="I304" s="1"/>
      <c r="J304" s="1">
        <v>47.913209999999999</v>
      </c>
      <c r="K304" s="1">
        <v>106.975847</v>
      </c>
      <c r="L304" s="20">
        <v>0</v>
      </c>
      <c r="M304" s="20">
        <v>0.99930555555555556</v>
      </c>
      <c r="N304" s="1">
        <v>1.2740095187429814</v>
      </c>
      <c r="O304" s="1">
        <v>223.3048359354226</v>
      </c>
      <c r="P304" s="1">
        <v>1.4948826146889751</v>
      </c>
      <c r="Q304" s="1">
        <v>82.075342800642701</v>
      </c>
      <c r="R304" s="1">
        <v>1.1297106684615383</v>
      </c>
      <c r="S304" s="1">
        <v>161.55492307692307</v>
      </c>
      <c r="T304" s="1">
        <v>1.1578171098840246</v>
      </c>
      <c r="U304" s="1">
        <v>78.857449308755761</v>
      </c>
      <c r="V304" s="1">
        <v>1.326138200314112</v>
      </c>
      <c r="W304" s="1">
        <v>202.64255019943019</v>
      </c>
      <c r="X304" s="1">
        <v>1.3381939205508964</v>
      </c>
      <c r="Y304" s="1">
        <v>73.999204301075267</v>
      </c>
      <c r="Z304" s="1">
        <v>1.0229259881503927</v>
      </c>
      <c r="AA304" s="1">
        <v>197.51401066217736</v>
      </c>
      <c r="AB304" s="1">
        <v>0.91858117857296462</v>
      </c>
      <c r="AC304" s="1">
        <v>62.794158602150532</v>
      </c>
    </row>
    <row r="305" spans="1:29" x14ac:dyDescent="0.2">
      <c r="A305" s="1" t="s">
        <v>2178</v>
      </c>
      <c r="B305" s="1" t="str">
        <f t="shared" ca="1" si="4"/>
        <v>Open</v>
      </c>
      <c r="C305" s="1" t="s">
        <v>2771</v>
      </c>
      <c r="D305" s="1" t="s">
        <v>2179</v>
      </c>
      <c r="E305" s="1" t="s">
        <v>2180</v>
      </c>
      <c r="F305" s="1" t="s">
        <v>2167</v>
      </c>
      <c r="G305" s="1" t="s">
        <v>2181</v>
      </c>
      <c r="H305" s="24">
        <v>44950</v>
      </c>
      <c r="I305" s="1"/>
      <c r="J305" s="1">
        <v>49.466000999999999</v>
      </c>
      <c r="K305" s="1">
        <v>105.956271</v>
      </c>
      <c r="L305" s="20">
        <v>0</v>
      </c>
      <c r="M305" s="20">
        <v>0.99930555555555556</v>
      </c>
      <c r="N305" s="1">
        <v>0.8238997576507936</v>
      </c>
      <c r="O305" s="1">
        <v>131.33522138680036</v>
      </c>
      <c r="P305" s="1">
        <v>0.69755301929534019</v>
      </c>
      <c r="Q305" s="1">
        <v>58.670103225806457</v>
      </c>
      <c r="R305" s="1">
        <v>1.0557007197600441</v>
      </c>
      <c r="S305" s="1">
        <v>147.39399103820156</v>
      </c>
      <c r="T305" s="1">
        <v>0.79196485940143369</v>
      </c>
      <c r="U305" s="1">
        <v>65.256515412186388</v>
      </c>
      <c r="V305" s="1">
        <v>1.1947886014490743</v>
      </c>
      <c r="W305" s="1">
        <v>193.73331150793649</v>
      </c>
      <c r="X305" s="1">
        <v>0.87637513558243718</v>
      </c>
      <c r="Y305" s="1">
        <v>68.439665949820792</v>
      </c>
      <c r="Z305" s="1">
        <v>0.70073756231954898</v>
      </c>
      <c r="AA305" s="1">
        <v>117.33576872737397</v>
      </c>
      <c r="AB305" s="1">
        <v>0.50622948584447014</v>
      </c>
      <c r="AC305" s="1">
        <v>50.96856221198157</v>
      </c>
    </row>
    <row r="306" spans="1:29" x14ac:dyDescent="0.2">
      <c r="A306" s="1" t="s">
        <v>1184</v>
      </c>
      <c r="B306" s="1" t="str">
        <f t="shared" ca="1" si="4"/>
        <v>Closed</v>
      </c>
      <c r="C306" s="1" t="s">
        <v>2770</v>
      </c>
      <c r="D306" s="1" t="s">
        <v>1185</v>
      </c>
      <c r="E306" s="1" t="s">
        <v>1186</v>
      </c>
      <c r="F306" s="1" t="s">
        <v>33</v>
      </c>
      <c r="G306" s="1" t="s">
        <v>1187</v>
      </c>
      <c r="H306" s="24">
        <v>44990</v>
      </c>
      <c r="I306" s="24">
        <v>45859</v>
      </c>
      <c r="J306" s="1">
        <v>47.923206999999998</v>
      </c>
      <c r="K306" s="1">
        <v>106.90388299999999</v>
      </c>
      <c r="L306" s="20">
        <v>0</v>
      </c>
      <c r="M306" s="20">
        <v>0.99930555555555556</v>
      </c>
      <c r="N306" s="1">
        <v>0.73639092957822683</v>
      </c>
      <c r="O306" s="1">
        <v>120.83034189340572</v>
      </c>
      <c r="P306" s="1">
        <v>1.0305683280225519</v>
      </c>
      <c r="Q306" s="1">
        <v>50.741335744455974</v>
      </c>
      <c r="R306" s="1">
        <v>0.49381839777428665</v>
      </c>
      <c r="S306" s="1">
        <v>83.900251497035015</v>
      </c>
      <c r="T306" s="1">
        <v>0.64077649849077589</v>
      </c>
      <c r="U306" s="1">
        <v>35.5947120909562</v>
      </c>
      <c r="V306" s="1">
        <v>0.68973672527971119</v>
      </c>
      <c r="W306" s="1">
        <v>105.10136823315327</v>
      </c>
      <c r="X306" s="1">
        <v>0.66877713761127888</v>
      </c>
      <c r="Y306" s="1">
        <v>33.853633561457997</v>
      </c>
      <c r="Z306" s="1">
        <v>0.61668712407906823</v>
      </c>
      <c r="AA306" s="1">
        <v>111.42882484304808</v>
      </c>
      <c r="AB306" s="1">
        <v>0.75426453629546997</v>
      </c>
      <c r="AC306" s="1">
        <v>41.5584292989384</v>
      </c>
    </row>
    <row r="307" spans="1:29" x14ac:dyDescent="0.2">
      <c r="A307" s="1" t="s">
        <v>1188</v>
      </c>
      <c r="B307" s="1" t="str">
        <f t="shared" ca="1" si="4"/>
        <v>Open</v>
      </c>
      <c r="C307" s="1" t="s">
        <v>2770</v>
      </c>
      <c r="D307" s="1" t="s">
        <v>1189</v>
      </c>
      <c r="E307" s="1" t="s">
        <v>1190</v>
      </c>
      <c r="F307" s="1" t="s">
        <v>145</v>
      </c>
      <c r="G307" s="1" t="s">
        <v>1191</v>
      </c>
      <c r="H307" s="24">
        <v>45016</v>
      </c>
      <c r="I307" s="1"/>
      <c r="J307" s="1">
        <v>47.927641000000001</v>
      </c>
      <c r="K307" s="1">
        <v>106.81689900000001</v>
      </c>
      <c r="L307" s="20">
        <v>0</v>
      </c>
      <c r="M307" s="20">
        <v>0.99930555555555556</v>
      </c>
      <c r="N307" s="1">
        <v>1.0537412443148908</v>
      </c>
      <c r="O307" s="1">
        <v>156.37949762583096</v>
      </c>
      <c r="P307" s="1">
        <v>0.5880241401824372</v>
      </c>
      <c r="Q307" s="1">
        <v>40.389645161290332</v>
      </c>
      <c r="R307" s="1">
        <v>0.93401090697815758</v>
      </c>
      <c r="S307" s="1">
        <v>101.86593067426402</v>
      </c>
      <c r="T307" s="1">
        <v>0.55473179728100364</v>
      </c>
      <c r="U307" s="1">
        <v>35.502696774193538</v>
      </c>
      <c r="V307" s="1">
        <v>1.2402245428647676</v>
      </c>
      <c r="W307" s="1">
        <v>145.50615244064582</v>
      </c>
      <c r="X307" s="1">
        <v>0.69904849420430126</v>
      </c>
      <c r="Y307" s="1">
        <v>41.630278853046597</v>
      </c>
      <c r="Z307" s="1">
        <v>1.0165247897294689</v>
      </c>
      <c r="AA307" s="1">
        <v>146.57757541599571</v>
      </c>
      <c r="AB307" s="1">
        <v>0.4746857411639786</v>
      </c>
      <c r="AC307" s="1">
        <v>33.675128648233489</v>
      </c>
    </row>
    <row r="308" spans="1:29" x14ac:dyDescent="0.2">
      <c r="A308" s="1" t="s">
        <v>1192</v>
      </c>
      <c r="B308" s="1" t="str">
        <f t="shared" ca="1" si="4"/>
        <v>Open</v>
      </c>
      <c r="C308" s="1" t="s">
        <v>2770</v>
      </c>
      <c r="D308" s="1" t="s">
        <v>1193</v>
      </c>
      <c r="E308" s="1" t="s">
        <v>1194</v>
      </c>
      <c r="F308" s="1" t="s">
        <v>33</v>
      </c>
      <c r="G308" s="1" t="s">
        <v>1195</v>
      </c>
      <c r="H308" s="24">
        <v>45014</v>
      </c>
      <c r="I308" s="1"/>
      <c r="J308" s="1">
        <v>47.923974000000001</v>
      </c>
      <c r="K308" s="1">
        <v>106.913267</v>
      </c>
      <c r="L308" s="20">
        <v>0.29166666666666669</v>
      </c>
      <c r="M308" s="20">
        <v>0.99930555555555556</v>
      </c>
      <c r="N308" s="1">
        <v>0.55464382679253565</v>
      </c>
      <c r="O308" s="1">
        <v>102.13140621082623</v>
      </c>
      <c r="P308" s="1">
        <v>0.79439179804204674</v>
      </c>
      <c r="Q308" s="1">
        <v>36.680673192436039</v>
      </c>
      <c r="R308" s="1">
        <v>0.52326371109354231</v>
      </c>
      <c r="S308" s="1">
        <v>87.793066001899334</v>
      </c>
      <c r="T308" s="1">
        <v>0.59183573811577073</v>
      </c>
      <c r="U308" s="1">
        <v>36.075046236559139</v>
      </c>
      <c r="V308" s="1">
        <v>0.58894303401082615</v>
      </c>
      <c r="W308" s="1">
        <v>109.62329601139602</v>
      </c>
      <c r="X308" s="1">
        <v>0.85566435340208535</v>
      </c>
      <c r="Y308" s="1">
        <v>38.318667741935478</v>
      </c>
      <c r="Z308" s="1">
        <v>0.39511533319592052</v>
      </c>
      <c r="AA308" s="1">
        <v>71.527575415995713</v>
      </c>
      <c r="AB308" s="1">
        <v>0.45680719007066034</v>
      </c>
      <c r="AC308" s="1">
        <v>30.109904761904762</v>
      </c>
    </row>
    <row r="309" spans="1:29" x14ac:dyDescent="0.2">
      <c r="A309" s="1" t="s">
        <v>1196</v>
      </c>
      <c r="B309" s="1" t="str">
        <f t="shared" ca="1" si="4"/>
        <v>Closed</v>
      </c>
      <c r="C309" s="1" t="s">
        <v>2770</v>
      </c>
      <c r="D309" s="1" t="s">
        <v>1197</v>
      </c>
      <c r="E309" s="1" t="s">
        <v>1198</v>
      </c>
      <c r="F309" s="1" t="s">
        <v>28</v>
      </c>
      <c r="G309" s="1" t="s">
        <v>1199</v>
      </c>
      <c r="H309" s="24">
        <v>45014</v>
      </c>
      <c r="I309" s="24">
        <v>45752</v>
      </c>
      <c r="J309" s="1">
        <v>47.899625999999998</v>
      </c>
      <c r="K309" s="1">
        <v>106.84915700000001</v>
      </c>
      <c r="L309" s="20">
        <v>0</v>
      </c>
      <c r="M309" s="20">
        <v>0.99930555555555556</v>
      </c>
      <c r="N309" s="1">
        <v>0.73639092957822683</v>
      </c>
      <c r="O309" s="1">
        <v>120.83034189340572</v>
      </c>
      <c r="P309" s="1">
        <v>1.0305683280225519</v>
      </c>
      <c r="Q309" s="1">
        <v>50.741335744455974</v>
      </c>
      <c r="R309" s="1">
        <v>0.59266082866298353</v>
      </c>
      <c r="S309" s="1">
        <v>87.279182949969197</v>
      </c>
      <c r="T309" s="1">
        <v>0.71019832322202736</v>
      </c>
      <c r="U309" s="1">
        <v>41.587076724384275</v>
      </c>
      <c r="V309" s="1">
        <v>0.92053739661526512</v>
      </c>
      <c r="W309" s="1">
        <v>133.18199833686319</v>
      </c>
      <c r="X309" s="1">
        <v>1.0622171211785376</v>
      </c>
      <c r="Y309" s="1">
        <v>52.728527320208435</v>
      </c>
      <c r="Z309" s="1">
        <v>0.61668712407906823</v>
      </c>
      <c r="AA309" s="1">
        <v>111.42882484304808</v>
      </c>
      <c r="AB309" s="1">
        <v>0.75426453629546997</v>
      </c>
      <c r="AC309" s="1">
        <v>41.5584292989384</v>
      </c>
    </row>
    <row r="310" spans="1:29" x14ac:dyDescent="0.2">
      <c r="A310" s="1" t="s">
        <v>1200</v>
      </c>
      <c r="B310" s="1" t="str">
        <f t="shared" ca="1" si="4"/>
        <v>Open</v>
      </c>
      <c r="C310" s="1" t="s">
        <v>2770</v>
      </c>
      <c r="D310" s="1" t="s">
        <v>1201</v>
      </c>
      <c r="E310" s="1" t="s">
        <v>1202</v>
      </c>
      <c r="F310" s="1" t="s">
        <v>64</v>
      </c>
      <c r="G310" s="1" t="s">
        <v>1203</v>
      </c>
      <c r="H310" s="24">
        <v>45016</v>
      </c>
      <c r="I310" s="1"/>
      <c r="J310" s="1">
        <v>47.900409000000003</v>
      </c>
      <c r="K310" s="1">
        <v>106.893452</v>
      </c>
      <c r="L310" s="20">
        <v>0</v>
      </c>
      <c r="M310" s="20">
        <v>0.99930555555555556</v>
      </c>
      <c r="N310" s="1">
        <v>0.77797341368037964</v>
      </c>
      <c r="O310" s="1">
        <v>128.47691882241216</v>
      </c>
      <c r="P310" s="1">
        <v>1.3422550480548388</v>
      </c>
      <c r="Q310" s="1">
        <v>75.040361648745531</v>
      </c>
      <c r="R310" s="1">
        <v>0.79497999312867995</v>
      </c>
      <c r="S310" s="1">
        <v>114.93083713200379</v>
      </c>
      <c r="T310" s="1">
        <v>1.0330995849953408</v>
      </c>
      <c r="U310" s="1">
        <v>67.221469175627249</v>
      </c>
      <c r="V310" s="1">
        <v>0.87005291969185183</v>
      </c>
      <c r="W310" s="1">
        <v>133.85156452041784</v>
      </c>
      <c r="X310" s="1">
        <v>1.0416320583724017</v>
      </c>
      <c r="Y310" s="1">
        <v>54.385232616487457</v>
      </c>
      <c r="Z310" s="1">
        <v>0.60761553124000678</v>
      </c>
      <c r="AA310" s="1">
        <v>120.45324160407493</v>
      </c>
      <c r="AB310" s="1">
        <v>0.89995945010253475</v>
      </c>
      <c r="AC310" s="1">
        <v>56.913610983102934</v>
      </c>
    </row>
    <row r="311" spans="1:29" x14ac:dyDescent="0.2">
      <c r="A311" s="1" t="s">
        <v>2182</v>
      </c>
      <c r="B311" s="1" t="str">
        <f t="shared" ca="1" si="4"/>
        <v>Open</v>
      </c>
      <c r="C311" s="1" t="s">
        <v>2771</v>
      </c>
      <c r="D311" s="1" t="s">
        <v>2183</v>
      </c>
      <c r="E311" s="1" t="s">
        <v>2184</v>
      </c>
      <c r="F311" s="1" t="s">
        <v>2185</v>
      </c>
      <c r="G311" s="1" t="s">
        <v>2186</v>
      </c>
      <c r="H311" s="24">
        <v>45037</v>
      </c>
      <c r="I311" s="1"/>
      <c r="J311" s="1">
        <v>49.029586000000002</v>
      </c>
      <c r="K311" s="1">
        <v>104.054339</v>
      </c>
      <c r="L311" s="20">
        <v>0</v>
      </c>
      <c r="M311" s="20">
        <v>0.99930555555555556</v>
      </c>
      <c r="N311" s="1">
        <v>0.89555365631928108</v>
      </c>
      <c r="O311" s="1">
        <v>133.99034640522873</v>
      </c>
      <c r="P311" s="1">
        <v>1.2574523170025886</v>
      </c>
      <c r="Q311" s="1">
        <v>66.634140302668257</v>
      </c>
      <c r="R311" s="1">
        <v>1.1158627814266067</v>
      </c>
      <c r="S311" s="1">
        <v>134.10067701525054</v>
      </c>
      <c r="T311" s="1">
        <v>1.1962597571892477</v>
      </c>
      <c r="U311" s="1">
        <v>59.757358422939063</v>
      </c>
      <c r="V311" s="1">
        <v>1.2392035450742689</v>
      </c>
      <c r="W311" s="1">
        <v>166.78370311890839</v>
      </c>
      <c r="X311" s="1">
        <v>1.3693574813530465</v>
      </c>
      <c r="Y311" s="1">
        <v>75.60359139784947</v>
      </c>
      <c r="Z311" s="1">
        <v>0.66894715972858598</v>
      </c>
      <c r="AA311" s="1">
        <v>102.9055995872033</v>
      </c>
      <c r="AB311" s="1">
        <v>0.96546518820430138</v>
      </c>
      <c r="AC311" s="1">
        <v>51.374355120327699</v>
      </c>
    </row>
    <row r="312" spans="1:29" x14ac:dyDescent="0.2">
      <c r="A312" s="1" t="s">
        <v>1204</v>
      </c>
      <c r="B312" s="1" t="str">
        <f t="shared" ca="1" si="4"/>
        <v>Open</v>
      </c>
      <c r="C312" s="1" t="s">
        <v>2770</v>
      </c>
      <c r="D312" s="1" t="s">
        <v>1205</v>
      </c>
      <c r="E312" s="1" t="s">
        <v>1206</v>
      </c>
      <c r="F312" s="1" t="s">
        <v>64</v>
      </c>
      <c r="G312" s="1" t="s">
        <v>1207</v>
      </c>
      <c r="H312" s="24">
        <v>45054</v>
      </c>
      <c r="I312" s="1"/>
      <c r="J312" s="1">
        <v>47.847484000000001</v>
      </c>
      <c r="K312" s="1">
        <v>106.782512</v>
      </c>
      <c r="L312" s="20">
        <v>0</v>
      </c>
      <c r="M312" s="20">
        <v>0.99930555555555556</v>
      </c>
      <c r="N312" s="1">
        <v>0.49050902157164278</v>
      </c>
      <c r="O312" s="1">
        <v>90.139472896486211</v>
      </c>
      <c r="P312" s="1">
        <v>1.0113006991086018</v>
      </c>
      <c r="Q312" s="1">
        <v>37.300360215053765</v>
      </c>
      <c r="R312" s="1">
        <v>0.55200029408404561</v>
      </c>
      <c r="S312" s="1">
        <v>84.422421652421647</v>
      </c>
      <c r="T312" s="1">
        <v>0.77830632593584237</v>
      </c>
      <c r="U312" s="1">
        <v>39.224112544802871</v>
      </c>
      <c r="V312" s="1">
        <v>0.60283364424678054</v>
      </c>
      <c r="W312" s="1">
        <v>86.105069819563141</v>
      </c>
      <c r="X312" s="1">
        <v>0.9835945971340504</v>
      </c>
      <c r="Y312" s="1">
        <v>39.009526881720426</v>
      </c>
      <c r="Z312" s="1">
        <v>0.50324296137359104</v>
      </c>
      <c r="AA312" s="1">
        <v>99.458952764358585</v>
      </c>
      <c r="AB312" s="1">
        <v>0.71976153835291867</v>
      </c>
      <c r="AC312" s="1">
        <v>34.168859447004614</v>
      </c>
    </row>
    <row r="313" spans="1:29" x14ac:dyDescent="0.2">
      <c r="A313" s="1" t="s">
        <v>2187</v>
      </c>
      <c r="B313" s="1" t="str">
        <f t="shared" ca="1" si="4"/>
        <v>Open</v>
      </c>
      <c r="C313" s="1" t="s">
        <v>2771</v>
      </c>
      <c r="D313" s="1" t="s">
        <v>2188</v>
      </c>
      <c r="E313" s="1" t="s">
        <v>2189</v>
      </c>
      <c r="F313" s="1" t="s">
        <v>2185</v>
      </c>
      <c r="G313" s="1" t="s">
        <v>2190</v>
      </c>
      <c r="H313" s="24">
        <v>45041</v>
      </c>
      <c r="I313" s="1"/>
      <c r="J313" s="1">
        <v>49.027656999999998</v>
      </c>
      <c r="K313" s="1">
        <v>104.04626399999999</v>
      </c>
      <c r="L313" s="20">
        <v>0</v>
      </c>
      <c r="M313" s="20">
        <v>0.99930555555555556</v>
      </c>
      <c r="N313" s="1">
        <v>0.84940326474313721</v>
      </c>
      <c r="O313" s="1">
        <v>129.31903899782134</v>
      </c>
      <c r="P313" s="1">
        <v>0.64912183952994817</v>
      </c>
      <c r="Q313" s="1">
        <v>40.637965511748313</v>
      </c>
      <c r="R313" s="1">
        <v>0.82684673717724866</v>
      </c>
      <c r="S313" s="1">
        <v>113.16736507936507</v>
      </c>
      <c r="T313" s="1">
        <v>0.65190074078817206</v>
      </c>
      <c r="U313" s="1">
        <v>36.023007885304658</v>
      </c>
      <c r="V313" s="1">
        <v>0.92920056144729346</v>
      </c>
      <c r="W313" s="1">
        <v>114.20213817663819</v>
      </c>
      <c r="X313" s="1">
        <v>0.63784827277634426</v>
      </c>
      <c r="Y313" s="1">
        <v>31.157164874551967</v>
      </c>
      <c r="Z313" s="1">
        <v>0.51356928682456127</v>
      </c>
      <c r="AA313" s="1">
        <v>87.138298245614024</v>
      </c>
      <c r="AB313" s="1">
        <v>0.49190718958832574</v>
      </c>
      <c r="AC313" s="1">
        <v>30.071691244239627</v>
      </c>
    </row>
    <row r="314" spans="1:29" x14ac:dyDescent="0.2">
      <c r="A314" s="1" t="s">
        <v>1208</v>
      </c>
      <c r="B314" s="1" t="str">
        <f t="shared" ca="1" si="4"/>
        <v>Open</v>
      </c>
      <c r="C314" s="1" t="s">
        <v>2770</v>
      </c>
      <c r="D314" s="1" t="s">
        <v>1209</v>
      </c>
      <c r="E314" s="1" t="s">
        <v>1210</v>
      </c>
      <c r="F314" s="1" t="s">
        <v>33</v>
      </c>
      <c r="G314" s="1" t="s">
        <v>1211</v>
      </c>
      <c r="H314" s="24">
        <v>45046</v>
      </c>
      <c r="I314" s="1"/>
      <c r="J314" s="1">
        <v>47.942976000000002</v>
      </c>
      <c r="K314" s="1">
        <v>106.903476</v>
      </c>
      <c r="L314" s="20">
        <v>0</v>
      </c>
      <c r="M314" s="20">
        <v>0.99930555555555556</v>
      </c>
      <c r="N314" s="1">
        <v>1.112446895542849</v>
      </c>
      <c r="O314" s="1">
        <v>181.53195135802468</v>
      </c>
      <c r="P314" s="1">
        <v>1.2129243649827215</v>
      </c>
      <c r="Q314" s="1">
        <v>65.827154900506727</v>
      </c>
      <c r="R314" s="1">
        <v>1.1085724554116807</v>
      </c>
      <c r="S314" s="1">
        <v>146.34180341880338</v>
      </c>
      <c r="T314" s="1">
        <v>1.0487264379835126</v>
      </c>
      <c r="U314" s="1">
        <v>53.479741218637997</v>
      </c>
      <c r="V314" s="1">
        <v>1.2914212643477494</v>
      </c>
      <c r="W314" s="1">
        <v>175.64236207027542</v>
      </c>
      <c r="X314" s="1">
        <v>1.1362174177551971</v>
      </c>
      <c r="Y314" s="1">
        <v>64.04320537634409</v>
      </c>
      <c r="Z314" s="1">
        <v>1.1484247503988192</v>
      </c>
      <c r="AA314" s="1">
        <v>232.52337251744507</v>
      </c>
      <c r="AB314" s="1">
        <v>0.8143870510840302</v>
      </c>
      <c r="AC314" s="1">
        <v>52.199978096375929</v>
      </c>
    </row>
    <row r="315" spans="1:29" x14ac:dyDescent="0.2">
      <c r="A315" s="1" t="s">
        <v>1212</v>
      </c>
      <c r="B315" s="1" t="str">
        <f t="shared" ca="1" si="4"/>
        <v>Open</v>
      </c>
      <c r="C315" s="1" t="s">
        <v>2770</v>
      </c>
      <c r="D315" s="1" t="s">
        <v>1213</v>
      </c>
      <c r="E315" s="1" t="s">
        <v>1214</v>
      </c>
      <c r="F315" s="1" t="s">
        <v>48</v>
      </c>
      <c r="G315" s="1" t="s">
        <v>1215</v>
      </c>
      <c r="H315" s="24">
        <v>45046</v>
      </c>
      <c r="I315" s="1"/>
      <c r="J315" s="1">
        <v>47.874223999999998</v>
      </c>
      <c r="K315" s="1">
        <v>107.106764</v>
      </c>
      <c r="L315" s="20">
        <v>0</v>
      </c>
      <c r="M315" s="20">
        <v>0.99930555555555556</v>
      </c>
      <c r="N315" s="1">
        <v>0.81544622922254517</v>
      </c>
      <c r="O315" s="1">
        <v>117.84214691358027</v>
      </c>
      <c r="P315" s="1">
        <v>0.72911523844301074</v>
      </c>
      <c r="Q315" s="1">
        <v>36.072435483870954</v>
      </c>
      <c r="R315" s="1">
        <v>0.74469518754415953</v>
      </c>
      <c r="S315" s="1">
        <v>95.809956790123465</v>
      </c>
      <c r="T315" s="1">
        <v>0.63004028925340505</v>
      </c>
      <c r="U315" s="1">
        <v>35.664423297491041</v>
      </c>
      <c r="V315" s="1">
        <v>1.0673783021077494</v>
      </c>
      <c r="W315" s="1">
        <v>133.58827337132004</v>
      </c>
      <c r="X315" s="1">
        <v>0.84414070453046586</v>
      </c>
      <c r="Y315" s="1">
        <v>43.683674551971329</v>
      </c>
      <c r="Z315" s="1">
        <v>0.63184247339452493</v>
      </c>
      <c r="AA315" s="1">
        <v>108.60586151368761</v>
      </c>
      <c r="AB315" s="1">
        <v>0.57213980439861756</v>
      </c>
      <c r="AC315" s="1">
        <v>27.271365591397853</v>
      </c>
    </row>
    <row r="316" spans="1:29" x14ac:dyDescent="0.2">
      <c r="A316" s="1" t="s">
        <v>1216</v>
      </c>
      <c r="B316" s="1" t="str">
        <f t="shared" ca="1" si="4"/>
        <v>Open</v>
      </c>
      <c r="C316" s="1" t="s">
        <v>2770</v>
      </c>
      <c r="D316" s="1" t="s">
        <v>1217</v>
      </c>
      <c r="E316" s="1" t="s">
        <v>1218</v>
      </c>
      <c r="F316" s="1" t="s">
        <v>48</v>
      </c>
      <c r="G316" s="1" t="s">
        <v>2655</v>
      </c>
      <c r="H316" s="24">
        <v>45046</v>
      </c>
      <c r="I316" s="1"/>
      <c r="J316" s="1">
        <v>47.924269000000002</v>
      </c>
      <c r="K316" s="1">
        <v>106.96787</v>
      </c>
      <c r="L316" s="20">
        <v>0</v>
      </c>
      <c r="M316" s="20">
        <v>0.99930555555555556</v>
      </c>
      <c r="N316" s="1">
        <v>0.58632980358201336</v>
      </c>
      <c r="O316" s="1">
        <v>85.792768281101587</v>
      </c>
      <c r="P316" s="1">
        <v>1.0989719570555561</v>
      </c>
      <c r="Q316" s="1">
        <v>43.207840860215043</v>
      </c>
      <c r="R316" s="1">
        <v>0.58120879031481476</v>
      </c>
      <c r="S316" s="1">
        <v>79.18120607787273</v>
      </c>
      <c r="T316" s="1">
        <v>0.89009156710609327</v>
      </c>
      <c r="U316" s="1">
        <v>44.017535125448035</v>
      </c>
      <c r="V316" s="1">
        <v>0.62306952746936373</v>
      </c>
      <c r="W316" s="1">
        <v>81.402762867996188</v>
      </c>
      <c r="X316" s="1">
        <v>0.84481016805914011</v>
      </c>
      <c r="Y316" s="1">
        <v>44.674015770609316</v>
      </c>
      <c r="Z316" s="1">
        <v>0.53342598981964573</v>
      </c>
      <c r="AA316" s="1">
        <v>80.974414922168549</v>
      </c>
      <c r="AB316" s="1">
        <v>0.6919353261850999</v>
      </c>
      <c r="AC316" s="1">
        <v>35.083079109062986</v>
      </c>
    </row>
    <row r="317" spans="1:29" x14ac:dyDescent="0.2">
      <c r="A317" s="1" t="s">
        <v>1219</v>
      </c>
      <c r="B317" s="1" t="str">
        <f t="shared" ca="1" si="4"/>
        <v>Open</v>
      </c>
      <c r="C317" s="1" t="s">
        <v>2771</v>
      </c>
      <c r="D317" s="1" t="s">
        <v>1220</v>
      </c>
      <c r="E317" s="1" t="s">
        <v>1221</v>
      </c>
      <c r="F317" s="1" t="s">
        <v>1222</v>
      </c>
      <c r="G317" s="1" t="s">
        <v>1223</v>
      </c>
      <c r="H317" s="24">
        <v>45044</v>
      </c>
      <c r="I317" s="1"/>
      <c r="J317" s="1">
        <v>47.703049999999998</v>
      </c>
      <c r="K317" s="1">
        <v>106.947022</v>
      </c>
      <c r="L317" s="20">
        <v>0</v>
      </c>
      <c r="M317" s="20">
        <v>0.99930555555555556</v>
      </c>
      <c r="N317" s="1">
        <v>0.96759308818227907</v>
      </c>
      <c r="O317" s="1">
        <v>122.40052106362775</v>
      </c>
      <c r="P317" s="1">
        <v>1.251987958750538</v>
      </c>
      <c r="Q317" s="1">
        <v>71.814511111111088</v>
      </c>
      <c r="R317" s="1">
        <v>1.0232371388983856</v>
      </c>
      <c r="S317" s="1">
        <v>114.91043779677113</v>
      </c>
      <c r="T317" s="1">
        <v>1.1118738065577058</v>
      </c>
      <c r="U317" s="1">
        <v>76.068617204301077</v>
      </c>
      <c r="V317" s="1">
        <v>1.3573102544338083</v>
      </c>
      <c r="W317" s="1">
        <v>148.63578529914531</v>
      </c>
      <c r="X317" s="1">
        <v>1.4564280054232974</v>
      </c>
      <c r="Y317" s="1">
        <v>91.70966845878138</v>
      </c>
      <c r="Z317" s="1">
        <v>0.86009566343585619</v>
      </c>
      <c r="AA317" s="1">
        <v>127.86959634997318</v>
      </c>
      <c r="AB317" s="1">
        <v>0.87346428003955445</v>
      </c>
      <c r="AC317" s="1">
        <v>61.098958525345616</v>
      </c>
    </row>
    <row r="318" spans="1:29" x14ac:dyDescent="0.2">
      <c r="A318" s="1" t="s">
        <v>1224</v>
      </c>
      <c r="B318" s="1" t="str">
        <f t="shared" ca="1" si="4"/>
        <v>Closed</v>
      </c>
      <c r="C318" s="1" t="s">
        <v>2770</v>
      </c>
      <c r="D318" s="1" t="s">
        <v>1225</v>
      </c>
      <c r="E318" s="1" t="s">
        <v>1226</v>
      </c>
      <c r="F318" s="1" t="s">
        <v>841</v>
      </c>
      <c r="G318" s="1" t="s">
        <v>1227</v>
      </c>
      <c r="H318" s="24">
        <v>45046</v>
      </c>
      <c r="I318" s="24">
        <v>45689</v>
      </c>
      <c r="J318" s="1">
        <v>47.799584699999997</v>
      </c>
      <c r="K318" s="1">
        <v>107.324224</v>
      </c>
      <c r="L318" s="20">
        <v>0.29166666666666669</v>
      </c>
      <c r="M318" s="20">
        <v>0.99930555555555556</v>
      </c>
      <c r="N318" s="1">
        <v>0.73639092957822683</v>
      </c>
      <c r="O318" s="1">
        <v>120.83034189340572</v>
      </c>
      <c r="P318" s="1">
        <v>1.0305683280225519</v>
      </c>
      <c r="Q318" s="1">
        <v>50.741335744455974</v>
      </c>
      <c r="R318" s="1">
        <v>0.77505565528977927</v>
      </c>
      <c r="S318" s="1">
        <v>110.38798636394478</v>
      </c>
      <c r="T318" s="1">
        <v>0.95323771147676561</v>
      </c>
      <c r="U318" s="1">
        <v>50.072527276006774</v>
      </c>
      <c r="V318" s="1">
        <v>0.92053739661526512</v>
      </c>
      <c r="W318" s="1">
        <v>133.18199833686319</v>
      </c>
      <c r="X318" s="1">
        <v>1.0622171211785376</v>
      </c>
      <c r="Y318" s="1">
        <v>52.728527320208435</v>
      </c>
      <c r="Z318" s="1">
        <v>0.61668712407906823</v>
      </c>
      <c r="AA318" s="1">
        <v>111.42882484304808</v>
      </c>
      <c r="AB318" s="1">
        <v>0.75426453629546997</v>
      </c>
      <c r="AC318" s="1">
        <v>41.5584292989384</v>
      </c>
    </row>
    <row r="319" spans="1:29" x14ac:dyDescent="0.2">
      <c r="A319" s="1" t="s">
        <v>1228</v>
      </c>
      <c r="B319" s="1" t="str">
        <f t="shared" ca="1" si="4"/>
        <v>Open</v>
      </c>
      <c r="C319" s="1" t="s">
        <v>2770</v>
      </c>
      <c r="D319" s="1" t="s">
        <v>1229</v>
      </c>
      <c r="E319" s="1" t="s">
        <v>1230</v>
      </c>
      <c r="F319" s="1" t="s">
        <v>64</v>
      </c>
      <c r="G319" s="1" t="s">
        <v>1231</v>
      </c>
      <c r="H319" s="24">
        <v>45069</v>
      </c>
      <c r="I319" s="1"/>
      <c r="J319" s="1">
        <v>47.861666999999997</v>
      </c>
      <c r="K319" s="1">
        <v>106.83368</v>
      </c>
      <c r="L319" s="20">
        <v>0.29166666666666669</v>
      </c>
      <c r="M319" s="20">
        <v>0.99930555555555556</v>
      </c>
      <c r="N319" s="1">
        <v>0.54488159581228945</v>
      </c>
      <c r="O319" s="1">
        <v>87.23055976430976</v>
      </c>
      <c r="P319" s="1">
        <v>0.45822844957347658</v>
      </c>
      <c r="Q319" s="1">
        <v>21.743667383512545</v>
      </c>
      <c r="R319" s="1">
        <v>0.34400388386249997</v>
      </c>
      <c r="S319" s="1">
        <v>50.538250000000005</v>
      </c>
      <c r="T319" s="1">
        <v>0.54916912891362035</v>
      </c>
      <c r="U319" s="1">
        <v>26.014425089605727</v>
      </c>
      <c r="V319" s="1">
        <v>0.53822721438157306</v>
      </c>
      <c r="W319" s="1">
        <v>83.186906305704099</v>
      </c>
      <c r="X319" s="1">
        <v>0.51261935102903233</v>
      </c>
      <c r="Y319" s="1">
        <v>25.434554121863801</v>
      </c>
      <c r="Z319" s="1">
        <v>0.38269304081720085</v>
      </c>
      <c r="AA319" s="1">
        <v>60.731550961538467</v>
      </c>
      <c r="AB319" s="1">
        <v>0.43222346594930877</v>
      </c>
      <c r="AC319" s="1">
        <v>20.253678571428573</v>
      </c>
    </row>
    <row r="320" spans="1:29" x14ac:dyDescent="0.2">
      <c r="A320" s="1" t="s">
        <v>1232</v>
      </c>
      <c r="B320" s="1" t="str">
        <f t="shared" ca="1" si="4"/>
        <v>Open</v>
      </c>
      <c r="C320" s="1" t="s">
        <v>2770</v>
      </c>
      <c r="D320" s="1" t="s">
        <v>1233</v>
      </c>
      <c r="E320" s="1" t="s">
        <v>1234</v>
      </c>
      <c r="F320" s="1" t="s">
        <v>145</v>
      </c>
      <c r="G320" s="1" t="s">
        <v>1235</v>
      </c>
      <c r="H320" s="24">
        <v>45059</v>
      </c>
      <c r="I320" s="1"/>
      <c r="J320" s="1">
        <v>47.950522999999997</v>
      </c>
      <c r="K320" s="1">
        <v>106.85969799999999</v>
      </c>
      <c r="L320" s="20">
        <v>0</v>
      </c>
      <c r="M320" s="20">
        <v>0.99930555555555556</v>
      </c>
      <c r="N320" s="1">
        <v>1.065142193804957</v>
      </c>
      <c r="O320" s="1">
        <v>170.33199132003799</v>
      </c>
      <c r="P320" s="1">
        <v>0.88151069340250909</v>
      </c>
      <c r="Q320" s="1">
        <v>55.389798924731174</v>
      </c>
      <c r="R320" s="1">
        <v>1.0670631374596393</v>
      </c>
      <c r="S320" s="1">
        <v>129.02513675213677</v>
      </c>
      <c r="T320" s="1">
        <v>0.78604936690681015</v>
      </c>
      <c r="U320" s="1">
        <v>47.304383154121865</v>
      </c>
      <c r="V320" s="1">
        <v>1.3131829470152325</v>
      </c>
      <c r="W320" s="1">
        <v>169.95423188983861</v>
      </c>
      <c r="X320" s="1">
        <v>1.0836851375799286</v>
      </c>
      <c r="Y320" s="1">
        <v>56.292240501792115</v>
      </c>
      <c r="Z320" s="1">
        <v>1.0801603837777778</v>
      </c>
      <c r="AA320" s="1">
        <v>200.36025013419217</v>
      </c>
      <c r="AB320" s="1">
        <v>0.70280906256029174</v>
      </c>
      <c r="AC320" s="1">
        <v>45.205739247311833</v>
      </c>
    </row>
    <row r="321" spans="1:29" x14ac:dyDescent="0.2">
      <c r="A321" s="1" t="s">
        <v>2191</v>
      </c>
      <c r="B321" s="1" t="str">
        <f t="shared" ca="1" si="4"/>
        <v>Open</v>
      </c>
      <c r="C321" s="1" t="s">
        <v>2771</v>
      </c>
      <c r="D321" s="1" t="s">
        <v>2192</v>
      </c>
      <c r="E321" s="1" t="s">
        <v>2193</v>
      </c>
      <c r="F321" s="1" t="s">
        <v>2185</v>
      </c>
      <c r="G321" s="1" t="s">
        <v>2194</v>
      </c>
      <c r="H321" s="24">
        <v>45253</v>
      </c>
      <c r="I321" s="1"/>
      <c r="J321" s="1">
        <v>49.007402999999996</v>
      </c>
      <c r="K321" s="1">
        <v>104.010209</v>
      </c>
      <c r="L321" s="20">
        <v>0</v>
      </c>
      <c r="M321" s="20">
        <v>0.99930555555555556</v>
      </c>
      <c r="N321" s="1">
        <v>0.64653956267919799</v>
      </c>
      <c r="O321" s="1">
        <v>105.81015413533834</v>
      </c>
      <c r="P321" s="1">
        <v>0.67657015687311828</v>
      </c>
      <c r="Q321" s="1">
        <v>35.252782198327367</v>
      </c>
      <c r="R321" s="1">
        <v>0.9086496899390607</v>
      </c>
      <c r="S321" s="1">
        <v>119.5508701754386</v>
      </c>
      <c r="T321" s="1">
        <v>0.73112493730215045</v>
      </c>
      <c r="U321" s="1">
        <v>46.091583154121871</v>
      </c>
      <c r="V321" s="1">
        <v>1.3008103469653054</v>
      </c>
      <c r="W321" s="1">
        <v>183.22629637820043</v>
      </c>
      <c r="X321" s="1">
        <v>1.1077935672799406</v>
      </c>
      <c r="Y321" s="1">
        <v>59.229032258064514</v>
      </c>
      <c r="Z321" s="1">
        <v>0.74656426623355265</v>
      </c>
      <c r="AA321" s="1">
        <v>128.62853650670795</v>
      </c>
      <c r="AB321" s="1">
        <v>0.58445916396582176</v>
      </c>
      <c r="AC321" s="1">
        <v>38.113956221198151</v>
      </c>
    </row>
    <row r="322" spans="1:29" x14ac:dyDescent="0.2">
      <c r="A322" s="1" t="s">
        <v>1236</v>
      </c>
      <c r="B322" s="1" t="str">
        <f t="shared" ca="1" si="4"/>
        <v>Open</v>
      </c>
      <c r="C322" s="1" t="s">
        <v>2770</v>
      </c>
      <c r="D322" s="1" t="s">
        <v>1237</v>
      </c>
      <c r="E322" s="1" t="s">
        <v>1238</v>
      </c>
      <c r="F322" s="1" t="s">
        <v>48</v>
      </c>
      <c r="G322" s="1" t="s">
        <v>1239</v>
      </c>
      <c r="H322" s="24">
        <v>45075</v>
      </c>
      <c r="I322" s="1"/>
      <c r="J322" s="1">
        <v>47.907865000000001</v>
      </c>
      <c r="K322" s="1">
        <v>106.939899</v>
      </c>
      <c r="L322" s="20">
        <v>0</v>
      </c>
      <c r="M322" s="20">
        <v>0.99930555555555556</v>
      </c>
      <c r="N322" s="1">
        <v>0.38122329044936371</v>
      </c>
      <c r="O322" s="1">
        <v>69.796526058879394</v>
      </c>
      <c r="P322" s="1">
        <v>0.40646991484910394</v>
      </c>
      <c r="Q322" s="1">
        <v>24.499350896057347</v>
      </c>
      <c r="R322" s="1">
        <v>0.38490310829107305</v>
      </c>
      <c r="S322" s="1">
        <v>61.026469135802472</v>
      </c>
      <c r="T322" s="1">
        <v>0.34653105465878137</v>
      </c>
      <c r="U322" s="1">
        <v>25.515506810035841</v>
      </c>
      <c r="V322" s="1">
        <v>0.4640532713779108</v>
      </c>
      <c r="W322" s="1">
        <v>79.927366666666671</v>
      </c>
      <c r="X322" s="1">
        <v>0.41398282796702501</v>
      </c>
      <c r="Y322" s="1">
        <v>24.95033082437276</v>
      </c>
      <c r="Z322" s="1">
        <v>0.352856233317767</v>
      </c>
      <c r="AA322" s="1">
        <v>73.712906602254435</v>
      </c>
      <c r="AB322" s="1">
        <v>0.28997743919393232</v>
      </c>
      <c r="AC322" s="1">
        <v>22.32599308755761</v>
      </c>
    </row>
    <row r="323" spans="1:29" x14ac:dyDescent="0.2">
      <c r="A323" s="1" t="s">
        <v>1240</v>
      </c>
      <c r="B323" s="1" t="str">
        <f t="shared" ca="1" si="4"/>
        <v>Open</v>
      </c>
      <c r="C323" s="1" t="s">
        <v>2770</v>
      </c>
      <c r="D323" s="1" t="s">
        <v>1241</v>
      </c>
      <c r="E323" s="1" t="s">
        <v>1242</v>
      </c>
      <c r="F323" s="1" t="s">
        <v>841</v>
      </c>
      <c r="G323" s="1" t="s">
        <v>1243</v>
      </c>
      <c r="H323" s="24">
        <v>45077</v>
      </c>
      <c r="I323" s="1"/>
      <c r="J323" s="1">
        <v>47.791342</v>
      </c>
      <c r="K323" s="1">
        <v>107.21670399999999</v>
      </c>
      <c r="L323" s="20">
        <v>0</v>
      </c>
      <c r="M323" s="20">
        <v>0.99930555555555556</v>
      </c>
      <c r="N323" s="1">
        <v>0.82350884780719846</v>
      </c>
      <c r="O323" s="1">
        <v>103.63367468186136</v>
      </c>
      <c r="P323" s="1">
        <v>0.60944690120931899</v>
      </c>
      <c r="Q323" s="1">
        <v>41.663534408602146</v>
      </c>
      <c r="R323" s="1">
        <v>0.85780700519325748</v>
      </c>
      <c r="S323" s="1">
        <v>105.58974548907882</v>
      </c>
      <c r="T323" s="1">
        <v>0.59612373638637994</v>
      </c>
      <c r="U323" s="1">
        <v>38.668539426523303</v>
      </c>
      <c r="V323" s="1">
        <v>1.3139042184891168</v>
      </c>
      <c r="W323" s="1">
        <v>155.72031519468189</v>
      </c>
      <c r="X323" s="1">
        <v>0.83128698487741948</v>
      </c>
      <c r="Y323" s="1">
        <v>58.716229032258063</v>
      </c>
      <c r="Z323" s="1">
        <v>0.70440782541760594</v>
      </c>
      <c r="AA323" s="1">
        <v>115.36435319377351</v>
      </c>
      <c r="AB323" s="1">
        <v>0.43346559239324112</v>
      </c>
      <c r="AC323" s="1">
        <v>31.254349462365592</v>
      </c>
    </row>
    <row r="324" spans="1:29" x14ac:dyDescent="0.2">
      <c r="A324" s="1" t="s">
        <v>2195</v>
      </c>
      <c r="B324" s="1" t="str">
        <f t="shared" ref="B324:B387" ca="1" si="5">IF(AND(NOT(ISBLANK(I324)), I324 &lt;= TODAY()), "Closed", IF(H324 &gt; TODAY(), "Will open in future", "Open"))</f>
        <v>Open</v>
      </c>
      <c r="C324" s="1" t="s">
        <v>2770</v>
      </c>
      <c r="D324" s="1" t="s">
        <v>2196</v>
      </c>
      <c r="E324" s="1" t="s">
        <v>2197</v>
      </c>
      <c r="F324" s="1" t="s">
        <v>2198</v>
      </c>
      <c r="G324" s="1" t="s">
        <v>2199</v>
      </c>
      <c r="H324" s="24">
        <v>45077</v>
      </c>
      <c r="I324" s="1"/>
      <c r="J324" s="1">
        <v>47.772119000000004</v>
      </c>
      <c r="K324" s="1">
        <v>108.361682</v>
      </c>
      <c r="L324" s="20">
        <v>0</v>
      </c>
      <c r="M324" s="20">
        <v>0.99930555555555556</v>
      </c>
      <c r="N324" s="1">
        <v>1.273869668673604</v>
      </c>
      <c r="O324" s="1">
        <v>209.0825584795322</v>
      </c>
      <c r="P324" s="1">
        <v>0.93208980487275994</v>
      </c>
      <c r="Q324" s="1">
        <v>38.064119354838716</v>
      </c>
      <c r="R324" s="1">
        <v>1.1382665655529103</v>
      </c>
      <c r="S324" s="1">
        <v>146.90916666666666</v>
      </c>
      <c r="T324" s="1">
        <v>0.59291251360788511</v>
      </c>
      <c r="U324" s="1">
        <v>33.414991756272407</v>
      </c>
      <c r="V324" s="1">
        <v>1.9090200650218954</v>
      </c>
      <c r="W324" s="1">
        <v>260.06925424836601</v>
      </c>
      <c r="X324" s="1">
        <v>1.0799943733978494</v>
      </c>
      <c r="Y324" s="1">
        <v>58.52164516129033</v>
      </c>
      <c r="Z324" s="1">
        <v>1.2133453486140351</v>
      </c>
      <c r="AA324" s="1">
        <v>226.01337192982456</v>
      </c>
      <c r="AB324" s="1">
        <v>0.66903653445391731</v>
      </c>
      <c r="AC324" s="1">
        <v>31.496900537634403</v>
      </c>
    </row>
    <row r="325" spans="1:29" x14ac:dyDescent="0.2">
      <c r="A325" s="1" t="s">
        <v>1244</v>
      </c>
      <c r="B325" s="1" t="str">
        <f t="shared" ca="1" si="5"/>
        <v>Open</v>
      </c>
      <c r="C325" s="1" t="s">
        <v>2770</v>
      </c>
      <c r="D325" s="1" t="s">
        <v>1245</v>
      </c>
      <c r="E325" s="1" t="s">
        <v>1246</v>
      </c>
      <c r="F325" s="1" t="s">
        <v>11</v>
      </c>
      <c r="G325" s="1" t="s">
        <v>2656</v>
      </c>
      <c r="H325" s="24">
        <v>45087</v>
      </c>
      <c r="I325" s="1"/>
      <c r="J325" s="1">
        <v>47.909162999999999</v>
      </c>
      <c r="K325" s="1">
        <v>106.895674</v>
      </c>
      <c r="L325" s="20">
        <v>0</v>
      </c>
      <c r="M325" s="20">
        <v>0.99930555555555556</v>
      </c>
      <c r="N325" s="1">
        <v>0.4839400987389364</v>
      </c>
      <c r="O325" s="1">
        <v>81.041961709401718</v>
      </c>
      <c r="P325" s="1">
        <v>0.58841729932508979</v>
      </c>
      <c r="Q325" s="1">
        <v>36.381630465949819</v>
      </c>
      <c r="R325" s="1">
        <v>0.49361540731528963</v>
      </c>
      <c r="S325" s="1">
        <v>76.490009496676166</v>
      </c>
      <c r="T325" s="1">
        <v>0.59205268184193549</v>
      </c>
      <c r="U325" s="1">
        <v>38.18135949820789</v>
      </c>
      <c r="V325" s="1">
        <v>0.56674208143887939</v>
      </c>
      <c r="W325" s="1">
        <v>82.239272098765426</v>
      </c>
      <c r="X325" s="1">
        <v>0.73507720910788521</v>
      </c>
      <c r="Y325" s="1">
        <v>39.609379211469523</v>
      </c>
      <c r="Z325" s="1">
        <v>0.45387874107192699</v>
      </c>
      <c r="AA325" s="1">
        <v>91.07689049919486</v>
      </c>
      <c r="AB325" s="1">
        <v>0.52560099756950851</v>
      </c>
      <c r="AC325" s="1">
        <v>27.67062941628264</v>
      </c>
    </row>
    <row r="326" spans="1:29" x14ac:dyDescent="0.2">
      <c r="A326" s="1" t="s">
        <v>1247</v>
      </c>
      <c r="B326" s="1" t="str">
        <f t="shared" ca="1" si="5"/>
        <v>Open</v>
      </c>
      <c r="C326" s="1" t="s">
        <v>2770</v>
      </c>
      <c r="D326" s="1" t="s">
        <v>1248</v>
      </c>
      <c r="E326" s="1" t="s">
        <v>1249</v>
      </c>
      <c r="F326" s="1" t="s">
        <v>11</v>
      </c>
      <c r="G326" s="1" t="s">
        <v>2657</v>
      </c>
      <c r="H326" s="24">
        <v>45095</v>
      </c>
      <c r="I326" s="1"/>
      <c r="J326" s="1">
        <v>47.916476500000002</v>
      </c>
      <c r="K326" s="1">
        <v>106.91459999999999</v>
      </c>
      <c r="L326" s="20">
        <v>0.29166666666666669</v>
      </c>
      <c r="M326" s="20">
        <v>0.99930555555555556</v>
      </c>
      <c r="N326" s="1">
        <v>0.47879491209986708</v>
      </c>
      <c r="O326" s="1">
        <v>84.171130959164302</v>
      </c>
      <c r="P326" s="1">
        <v>0.84755723825663098</v>
      </c>
      <c r="Q326" s="1">
        <v>56.603034767025086</v>
      </c>
      <c r="R326" s="1">
        <v>0.58810548445204169</v>
      </c>
      <c r="S326" s="1">
        <v>85.243437177422678</v>
      </c>
      <c r="T326" s="1">
        <v>0.77838449539414167</v>
      </c>
      <c r="U326" s="1">
        <v>57.757425658138686</v>
      </c>
      <c r="V326" s="1">
        <v>0.55778164404564101</v>
      </c>
      <c r="W326" s="1">
        <v>86.249064387464387</v>
      </c>
      <c r="X326" s="1">
        <v>0.76048694386650373</v>
      </c>
      <c r="Y326" s="1">
        <v>56.644050961225155</v>
      </c>
      <c r="Z326" s="1">
        <v>0.54388153314387466</v>
      </c>
      <c r="AA326" s="1">
        <v>103.39145441595444</v>
      </c>
      <c r="AB326" s="1">
        <v>0.80309971739407804</v>
      </c>
      <c r="AC326" s="1">
        <v>62.734365856319158</v>
      </c>
    </row>
    <row r="327" spans="1:29" x14ac:dyDescent="0.2">
      <c r="A327" s="1" t="s">
        <v>1250</v>
      </c>
      <c r="B327" s="1" t="str">
        <f t="shared" ca="1" si="5"/>
        <v>Open</v>
      </c>
      <c r="C327" s="1" t="s">
        <v>2770</v>
      </c>
      <c r="D327" s="1" t="s">
        <v>1251</v>
      </c>
      <c r="E327" s="1" t="s">
        <v>1252</v>
      </c>
      <c r="F327" s="1" t="s">
        <v>64</v>
      </c>
      <c r="G327" s="1" t="s">
        <v>2658</v>
      </c>
      <c r="H327" s="24">
        <v>45112</v>
      </c>
      <c r="I327" s="1"/>
      <c r="J327" s="1">
        <v>47.827686</v>
      </c>
      <c r="K327" s="1">
        <v>106.778013</v>
      </c>
      <c r="L327" s="20">
        <v>0</v>
      </c>
      <c r="M327" s="20">
        <v>0.99930555555555556</v>
      </c>
      <c r="N327" s="1">
        <v>1.1624131175264008</v>
      </c>
      <c r="O327" s="1">
        <v>175.75548752136754</v>
      </c>
      <c r="P327" s="1">
        <v>1.4443564659136203</v>
      </c>
      <c r="Q327" s="1">
        <v>57.462566308243737</v>
      </c>
      <c r="R327" s="1">
        <v>1.3665979707193732</v>
      </c>
      <c r="S327" s="1">
        <v>169.170777302944</v>
      </c>
      <c r="T327" s="1">
        <v>1.2546951575856631</v>
      </c>
      <c r="U327" s="1">
        <v>56.916343727598566</v>
      </c>
      <c r="V327" s="1">
        <v>1.6739065107574358</v>
      </c>
      <c r="W327" s="1">
        <v>206.72306170940169</v>
      </c>
      <c r="X327" s="1">
        <v>1.7215148320659497</v>
      </c>
      <c r="Y327" s="1">
        <v>72.808576344086021</v>
      </c>
      <c r="Z327" s="1">
        <v>0.85358674452173922</v>
      </c>
      <c r="AA327" s="1">
        <v>151.27090982286634</v>
      </c>
      <c r="AB327" s="1">
        <v>1.0224651949777266</v>
      </c>
      <c r="AC327" s="1">
        <v>45.285926651305694</v>
      </c>
    </row>
    <row r="328" spans="1:29" x14ac:dyDescent="0.2">
      <c r="A328" s="1" t="s">
        <v>2200</v>
      </c>
      <c r="B328" s="1" t="str">
        <f t="shared" ca="1" si="5"/>
        <v>Open</v>
      </c>
      <c r="C328" s="1" t="s">
        <v>2771</v>
      </c>
      <c r="D328" s="1" t="s">
        <v>2201</v>
      </c>
      <c r="E328" s="1" t="s">
        <v>2202</v>
      </c>
      <c r="F328" s="1" t="s">
        <v>2185</v>
      </c>
      <c r="G328" s="1" t="s">
        <v>2659</v>
      </c>
      <c r="H328" s="24">
        <v>45103</v>
      </c>
      <c r="I328" s="1"/>
      <c r="J328" s="1">
        <v>49.027169999999998</v>
      </c>
      <c r="K328" s="1">
        <v>104.04566</v>
      </c>
      <c r="L328" s="20">
        <v>0</v>
      </c>
      <c r="M328" s="20">
        <v>0.99930555555555556</v>
      </c>
      <c r="N328" s="1">
        <v>0.633165334735589</v>
      </c>
      <c r="O328" s="1">
        <v>91.878300751879692</v>
      </c>
      <c r="P328" s="1">
        <v>0.71806475195706876</v>
      </c>
      <c r="Q328" s="1">
        <v>40.953865631222619</v>
      </c>
      <c r="R328" s="1">
        <v>0.72181209895928322</v>
      </c>
      <c r="S328" s="1">
        <v>88.183383666385225</v>
      </c>
      <c r="T328" s="1">
        <v>0.7110283142347672</v>
      </c>
      <c r="U328" s="1">
        <v>36.734935842293908</v>
      </c>
      <c r="V328" s="1">
        <v>0.90438792292129622</v>
      </c>
      <c r="W328" s="1">
        <v>111.18737962962963</v>
      </c>
      <c r="X328" s="1">
        <v>0.77711708877311836</v>
      </c>
      <c r="Y328" s="1">
        <v>42.197753763440865</v>
      </c>
      <c r="Z328" s="1">
        <v>0.59792323574719886</v>
      </c>
      <c r="AA328" s="1">
        <v>91.742731617647053</v>
      </c>
      <c r="AB328" s="1">
        <v>0.5623981834039683</v>
      </c>
      <c r="AC328" s="1">
        <v>34.034413056835653</v>
      </c>
    </row>
    <row r="329" spans="1:29" x14ac:dyDescent="0.2">
      <c r="A329" s="1" t="s">
        <v>1253</v>
      </c>
      <c r="B329" s="1" t="str">
        <f t="shared" ca="1" si="5"/>
        <v>Open</v>
      </c>
      <c r="C329" s="1" t="s">
        <v>2770</v>
      </c>
      <c r="D329" s="1" t="s">
        <v>1254</v>
      </c>
      <c r="E329" s="1" t="s">
        <v>1255</v>
      </c>
      <c r="F329" s="1" t="s">
        <v>28</v>
      </c>
      <c r="G329" s="1" t="s">
        <v>1256</v>
      </c>
      <c r="H329" s="24">
        <v>45107</v>
      </c>
      <c r="I329" s="1"/>
      <c r="J329" s="1">
        <v>47.916181999999999</v>
      </c>
      <c r="K329" s="1">
        <v>106.86320000000001</v>
      </c>
      <c r="L329" s="20">
        <v>0</v>
      </c>
      <c r="M329" s="20">
        <v>0.99930555555555556</v>
      </c>
      <c r="N329" s="1">
        <v>0.76289911214888884</v>
      </c>
      <c r="O329" s="1">
        <v>133.24595498575499</v>
      </c>
      <c r="P329" s="1">
        <v>1.0563100093344089</v>
      </c>
      <c r="Q329" s="1">
        <v>46.903908602150544</v>
      </c>
      <c r="R329" s="1">
        <v>0.69486074725071223</v>
      </c>
      <c r="S329" s="1">
        <v>104.89593114909782</v>
      </c>
      <c r="T329" s="1">
        <v>0.86544672366164843</v>
      </c>
      <c r="U329" s="1">
        <v>42.19934229390681</v>
      </c>
      <c r="V329" s="1">
        <v>0.73785615743641009</v>
      </c>
      <c r="W329" s="1">
        <v>108.46551675213675</v>
      </c>
      <c r="X329" s="1">
        <v>1.1143676608100359</v>
      </c>
      <c r="Y329" s="1">
        <v>50.709633333333336</v>
      </c>
      <c r="Z329" s="1">
        <v>0.59161190212291992</v>
      </c>
      <c r="AA329" s="1">
        <v>110.61386312399357</v>
      </c>
      <c r="AB329" s="1">
        <v>0.80527938131912424</v>
      </c>
      <c r="AC329" s="1">
        <v>40.785690860215048</v>
      </c>
    </row>
    <row r="330" spans="1:29" x14ac:dyDescent="0.2">
      <c r="A330" s="1" t="s">
        <v>1257</v>
      </c>
      <c r="B330" s="1" t="str">
        <f t="shared" ca="1" si="5"/>
        <v>Open</v>
      </c>
      <c r="C330" s="1" t="s">
        <v>2770</v>
      </c>
      <c r="D330" s="1" t="s">
        <v>1258</v>
      </c>
      <c r="E330" s="1" t="s">
        <v>1259</v>
      </c>
      <c r="F330" s="1" t="s">
        <v>33</v>
      </c>
      <c r="G330" s="1" t="s">
        <v>1260</v>
      </c>
      <c r="H330" s="24">
        <v>45105</v>
      </c>
      <c r="I330" s="1"/>
      <c r="J330" s="1">
        <v>47.950513000000001</v>
      </c>
      <c r="K330" s="1">
        <v>106.91370000000001</v>
      </c>
      <c r="L330" s="20">
        <v>0</v>
      </c>
      <c r="M330" s="20">
        <v>0.99930555555555556</v>
      </c>
      <c r="N330" s="1">
        <v>0.52043069184438739</v>
      </c>
      <c r="O330" s="1">
        <v>79.171978404558402</v>
      </c>
      <c r="P330" s="1">
        <v>0.72262156379175624</v>
      </c>
      <c r="Q330" s="1">
        <v>34.450209677419359</v>
      </c>
      <c r="R330" s="1">
        <v>0.53703587990883195</v>
      </c>
      <c r="S330" s="1">
        <v>73.310758784425445</v>
      </c>
      <c r="T330" s="1">
        <v>0.64280541010860215</v>
      </c>
      <c r="U330" s="1">
        <v>32.006672043010752</v>
      </c>
      <c r="V330" s="1">
        <v>0.62175004565684711</v>
      </c>
      <c r="W330" s="1">
        <v>82.877462526115849</v>
      </c>
      <c r="X330" s="1">
        <v>0.6832040331684589</v>
      </c>
      <c r="Y330" s="1">
        <v>31.994670250896053</v>
      </c>
      <c r="Z330" s="1">
        <v>0.47474785043370898</v>
      </c>
      <c r="AA330" s="1">
        <v>94.847889962426208</v>
      </c>
      <c r="AB330" s="1">
        <v>0.46097541752688165</v>
      </c>
      <c r="AC330" s="1">
        <v>25.670702380952378</v>
      </c>
    </row>
    <row r="331" spans="1:29" x14ac:dyDescent="0.2">
      <c r="A331" s="1" t="s">
        <v>1261</v>
      </c>
      <c r="B331" s="1" t="str">
        <f t="shared" ca="1" si="5"/>
        <v>Open</v>
      </c>
      <c r="C331" s="1" t="s">
        <v>2770</v>
      </c>
      <c r="D331" s="1" t="s">
        <v>1262</v>
      </c>
      <c r="E331" s="1" t="s">
        <v>1263</v>
      </c>
      <c r="F331" s="1" t="s">
        <v>48</v>
      </c>
      <c r="G331" s="1" t="s">
        <v>1264</v>
      </c>
      <c r="H331" s="24">
        <v>45105</v>
      </c>
      <c r="I331" s="1"/>
      <c r="J331" s="1">
        <v>47.911852000000003</v>
      </c>
      <c r="K331" s="1">
        <v>106.959867</v>
      </c>
      <c r="L331" s="20">
        <v>0</v>
      </c>
      <c r="M331" s="20">
        <v>0.99930555555555556</v>
      </c>
      <c r="N331" s="1">
        <v>1.2835782944958591</v>
      </c>
      <c r="O331" s="1">
        <v>240.33467078822414</v>
      </c>
      <c r="P331" s="1">
        <v>1.7451515957483872</v>
      </c>
      <c r="Q331" s="1">
        <v>78.089739426523309</v>
      </c>
      <c r="R331" s="1">
        <v>1.2240549927321938</v>
      </c>
      <c r="S331" s="1">
        <v>210.90717094017097</v>
      </c>
      <c r="T331" s="1">
        <v>1.6168567402343343</v>
      </c>
      <c r="U331" s="1">
        <v>78.743186874304783</v>
      </c>
      <c r="V331" s="1">
        <v>1.384883849006135</v>
      </c>
      <c r="W331" s="1">
        <v>236.40605821462486</v>
      </c>
      <c r="X331" s="1">
        <v>1.6687569119261649</v>
      </c>
      <c r="Y331" s="1">
        <v>88.228776702508981</v>
      </c>
      <c r="Z331" s="1">
        <v>1.3446408972334947</v>
      </c>
      <c r="AA331" s="1">
        <v>280.20802683843272</v>
      </c>
      <c r="AB331" s="1">
        <v>1.328764182502987</v>
      </c>
      <c r="AC331" s="1">
        <v>75.99555675029869</v>
      </c>
    </row>
    <row r="332" spans="1:29" x14ac:dyDescent="0.2">
      <c r="A332" s="1" t="s">
        <v>2203</v>
      </c>
      <c r="B332" s="1" t="str">
        <f t="shared" ca="1" si="5"/>
        <v>Open</v>
      </c>
      <c r="C332" s="1" t="s">
        <v>2770</v>
      </c>
      <c r="D332" s="1" t="s">
        <v>2204</v>
      </c>
      <c r="E332" s="1" t="s">
        <v>2205</v>
      </c>
      <c r="F332" s="1" t="s">
        <v>2198</v>
      </c>
      <c r="G332" s="1" t="s">
        <v>2206</v>
      </c>
      <c r="H332" s="24">
        <v>45107</v>
      </c>
      <c r="I332" s="1"/>
      <c r="J332" s="1">
        <v>47.777315999999999</v>
      </c>
      <c r="K332" s="1">
        <v>108.36995899999999</v>
      </c>
      <c r="L332" s="20">
        <v>0</v>
      </c>
      <c r="M332" s="20">
        <v>0.99930555555555556</v>
      </c>
      <c r="N332" s="1">
        <v>1.1152078091886242</v>
      </c>
      <c r="O332" s="1">
        <v>222.31923412698413</v>
      </c>
      <c r="P332" s="1">
        <v>0.92011198374136682</v>
      </c>
      <c r="Q332" s="1">
        <v>49.238708144852303</v>
      </c>
      <c r="R332" s="1">
        <v>1.2331141967087034</v>
      </c>
      <c r="S332" s="1">
        <v>208.52629516974255</v>
      </c>
      <c r="T332" s="1">
        <v>0.94280679634623654</v>
      </c>
      <c r="U332" s="1">
        <v>55.995239426523312</v>
      </c>
      <c r="V332" s="1">
        <v>1.5475639031375659</v>
      </c>
      <c r="W332" s="1">
        <v>267.37284656084654</v>
      </c>
      <c r="X332" s="1">
        <v>1.2009093743283155</v>
      </c>
      <c r="Y332" s="1">
        <v>68.144012186379953</v>
      </c>
      <c r="Z332" s="1">
        <v>1.0737506327684212</v>
      </c>
      <c r="AA332" s="1">
        <v>242.04988684210525</v>
      </c>
      <c r="AB332" s="1">
        <v>0.72380338295468494</v>
      </c>
      <c r="AC332" s="1">
        <v>39.859728494623667</v>
      </c>
    </row>
    <row r="333" spans="1:29" x14ac:dyDescent="0.2">
      <c r="A333" s="1" t="s">
        <v>1265</v>
      </c>
      <c r="B333" s="1" t="str">
        <f t="shared" ca="1" si="5"/>
        <v>Open</v>
      </c>
      <c r="C333" s="1" t="s">
        <v>2770</v>
      </c>
      <c r="D333" s="1" t="s">
        <v>1266</v>
      </c>
      <c r="E333" s="1" t="s">
        <v>1267</v>
      </c>
      <c r="F333" s="1" t="s">
        <v>11</v>
      </c>
      <c r="G333" s="1" t="s">
        <v>1268</v>
      </c>
      <c r="H333" s="24">
        <v>45107</v>
      </c>
      <c r="I333" s="1"/>
      <c r="J333" s="1">
        <v>47.913376999999997</v>
      </c>
      <c r="K333" s="1">
        <v>106.91837700000001</v>
      </c>
      <c r="L333" s="20">
        <v>0</v>
      </c>
      <c r="M333" s="20">
        <v>0.99930555555555556</v>
      </c>
      <c r="N333" s="1">
        <v>0.63775449338621104</v>
      </c>
      <c r="O333" s="1">
        <v>112.10247639126307</v>
      </c>
      <c r="P333" s="1">
        <v>0.85171820510716845</v>
      </c>
      <c r="Q333" s="1">
        <v>55.546848745519704</v>
      </c>
      <c r="R333" s="1">
        <v>0.91471761509876559</v>
      </c>
      <c r="S333" s="1">
        <v>145.03844254510921</v>
      </c>
      <c r="T333" s="1">
        <v>0.83429294496523276</v>
      </c>
      <c r="U333" s="1">
        <v>62.687466308243735</v>
      </c>
      <c r="V333" s="1">
        <v>1.2229217071575498</v>
      </c>
      <c r="W333" s="1">
        <v>207.5301949287749</v>
      </c>
      <c r="X333" s="1">
        <v>1.0744474714408605</v>
      </c>
      <c r="Y333" s="1">
        <v>73.073819713261628</v>
      </c>
      <c r="Z333" s="1">
        <v>0.43974782790391842</v>
      </c>
      <c r="AA333" s="1">
        <v>85.351991948470229</v>
      </c>
      <c r="AB333" s="1">
        <v>0.61928483366397857</v>
      </c>
      <c r="AC333" s="1">
        <v>46.186920122887869</v>
      </c>
    </row>
    <row r="334" spans="1:29" x14ac:dyDescent="0.2">
      <c r="A334" s="1" t="s">
        <v>1269</v>
      </c>
      <c r="B334" s="1" t="str">
        <f t="shared" ca="1" si="5"/>
        <v>Open</v>
      </c>
      <c r="C334" s="1" t="s">
        <v>2770</v>
      </c>
      <c r="D334" s="1" t="s">
        <v>1270</v>
      </c>
      <c r="E334" s="1" t="s">
        <v>1271</v>
      </c>
      <c r="F334" s="1" t="s">
        <v>28</v>
      </c>
      <c r="G334" s="1" t="s">
        <v>1272</v>
      </c>
      <c r="H334" s="24">
        <v>45126</v>
      </c>
      <c r="I334" s="1"/>
      <c r="J334" s="1">
        <v>47.913215999999998</v>
      </c>
      <c r="K334" s="1">
        <v>106.866687</v>
      </c>
      <c r="L334" s="20">
        <v>0</v>
      </c>
      <c r="M334" s="20">
        <v>0.99930555555555556</v>
      </c>
      <c r="N334" s="1">
        <v>0.79475705002904073</v>
      </c>
      <c r="O334" s="1">
        <v>139.6182641025641</v>
      </c>
      <c r="P334" s="1">
        <v>1.0038756156096778</v>
      </c>
      <c r="Q334" s="1">
        <v>46.864764516129036</v>
      </c>
      <c r="R334" s="1">
        <v>0.65797294249382698</v>
      </c>
      <c r="S334" s="1">
        <v>100.8422720797721</v>
      </c>
      <c r="T334" s="1">
        <v>0.63789551566110514</v>
      </c>
      <c r="U334" s="1">
        <v>38.21884723767149</v>
      </c>
      <c r="V334" s="1">
        <v>0.81447765773494785</v>
      </c>
      <c r="W334" s="1">
        <v>128.67920961063632</v>
      </c>
      <c r="X334" s="1">
        <v>0.80129925706272409</v>
      </c>
      <c r="Y334" s="1">
        <v>44.122572043010756</v>
      </c>
      <c r="Z334" s="1">
        <v>0.75595344028663425</v>
      </c>
      <c r="AA334" s="1">
        <v>149.17370853462157</v>
      </c>
      <c r="AB334" s="1">
        <v>0.77674254666973874</v>
      </c>
      <c r="AC334" s="1">
        <v>40.860689324116748</v>
      </c>
    </row>
    <row r="335" spans="1:29" x14ac:dyDescent="0.2">
      <c r="A335" s="1" t="s">
        <v>1273</v>
      </c>
      <c r="B335" s="1" t="str">
        <f t="shared" ca="1" si="5"/>
        <v>Open</v>
      </c>
      <c r="C335" s="1" t="s">
        <v>2770</v>
      </c>
      <c r="D335" s="1" t="s">
        <v>1274</v>
      </c>
      <c r="E335" s="1" t="s">
        <v>1275</v>
      </c>
      <c r="F335" s="1" t="s">
        <v>11</v>
      </c>
      <c r="G335" s="1" t="s">
        <v>1276</v>
      </c>
      <c r="H335" s="24">
        <v>45130</v>
      </c>
      <c r="I335" s="1"/>
      <c r="J335" s="1">
        <v>47.931851000000002</v>
      </c>
      <c r="K335" s="1">
        <v>106.92148</v>
      </c>
      <c r="L335" s="20">
        <v>0</v>
      </c>
      <c r="M335" s="20">
        <v>0.99930555555555556</v>
      </c>
      <c r="N335" s="1">
        <v>0.7173116417611588</v>
      </c>
      <c r="O335" s="1">
        <v>127.3821231528965</v>
      </c>
      <c r="P335" s="1">
        <v>0.88747262224137902</v>
      </c>
      <c r="Q335" s="1">
        <v>46.048424521072782</v>
      </c>
      <c r="R335" s="1">
        <v>0.74683389673266853</v>
      </c>
      <c r="S335" s="1">
        <v>113.35183095916427</v>
      </c>
      <c r="T335" s="1">
        <v>0.69480276121720441</v>
      </c>
      <c r="U335" s="1">
        <v>42.425273835125445</v>
      </c>
      <c r="V335" s="1">
        <v>0.65612898262636277</v>
      </c>
      <c r="W335" s="1">
        <v>114.33459458689457</v>
      </c>
      <c r="X335" s="1">
        <v>0.72941715942186391</v>
      </c>
      <c r="Y335" s="1">
        <v>32.080179569892472</v>
      </c>
      <c r="Z335" s="1">
        <v>0.59341783883199151</v>
      </c>
      <c r="AA335" s="1">
        <v>113.4810488459474</v>
      </c>
      <c r="AB335" s="1">
        <v>0.6332962452254226</v>
      </c>
      <c r="AC335" s="1">
        <v>38.770443932411666</v>
      </c>
    </row>
    <row r="336" spans="1:29" x14ac:dyDescent="0.2">
      <c r="A336" s="1" t="s">
        <v>1277</v>
      </c>
      <c r="B336" s="1" t="str">
        <f t="shared" ca="1" si="5"/>
        <v>Open</v>
      </c>
      <c r="C336" s="1" t="s">
        <v>2770</v>
      </c>
      <c r="D336" s="1" t="s">
        <v>1278</v>
      </c>
      <c r="E336" s="1" t="s">
        <v>1279</v>
      </c>
      <c r="F336" s="1" t="s">
        <v>11</v>
      </c>
      <c r="G336" s="1" t="s">
        <v>1280</v>
      </c>
      <c r="H336" s="24">
        <v>45133</v>
      </c>
      <c r="I336" s="1"/>
      <c r="J336" s="1">
        <v>47.916660999999998</v>
      </c>
      <c r="K336" s="1">
        <v>106.91784699999999</v>
      </c>
      <c r="L336" s="20">
        <v>0.29166666666666669</v>
      </c>
      <c r="M336" s="20">
        <v>0.99930555555555556</v>
      </c>
      <c r="N336" s="1">
        <v>0.61424840928007596</v>
      </c>
      <c r="O336" s="1">
        <v>110.97633580246914</v>
      </c>
      <c r="P336" s="1">
        <v>0.65588507524767048</v>
      </c>
      <c r="Q336" s="1">
        <v>49.065625448028669</v>
      </c>
      <c r="R336" s="1">
        <v>0.6616035879624883</v>
      </c>
      <c r="S336" s="1">
        <v>95.522761633428317</v>
      </c>
      <c r="T336" s="1">
        <v>0.55577001383154123</v>
      </c>
      <c r="U336" s="1">
        <v>43.051998566308242</v>
      </c>
      <c r="V336" s="1">
        <v>0.81549399900245012</v>
      </c>
      <c r="W336" s="1">
        <v>123.18744885090223</v>
      </c>
      <c r="X336" s="1">
        <v>0.7688250132014337</v>
      </c>
      <c r="Y336" s="1">
        <v>47.028247311827954</v>
      </c>
      <c r="Z336" s="1">
        <v>0.4401488252061192</v>
      </c>
      <c r="AA336" s="1">
        <v>76.847898550724651</v>
      </c>
      <c r="AB336" s="1">
        <v>0.47558080798425495</v>
      </c>
      <c r="AC336" s="1">
        <v>37.830275345622127</v>
      </c>
    </row>
    <row r="337" spans="1:29" x14ac:dyDescent="0.2">
      <c r="A337" s="1" t="s">
        <v>2207</v>
      </c>
      <c r="B337" s="1" t="str">
        <f t="shared" ca="1" si="5"/>
        <v>Open</v>
      </c>
      <c r="C337" s="1" t="s">
        <v>2771</v>
      </c>
      <c r="D337" s="1" t="s">
        <v>2208</v>
      </c>
      <c r="E337" s="1" t="s">
        <v>2209</v>
      </c>
      <c r="F337" s="1" t="s">
        <v>2167</v>
      </c>
      <c r="G337" s="1" t="s">
        <v>2210</v>
      </c>
      <c r="H337" s="24">
        <v>45144</v>
      </c>
      <c r="I337" s="1"/>
      <c r="J337" s="1">
        <v>49.464801000000001</v>
      </c>
      <c r="K337" s="1">
        <v>105.969441</v>
      </c>
      <c r="L337" s="20">
        <v>0</v>
      </c>
      <c r="M337" s="20">
        <v>0.99930555555555556</v>
      </c>
      <c r="N337" s="1">
        <v>0.89022968251515133</v>
      </c>
      <c r="O337" s="1">
        <v>158.37909107744105</v>
      </c>
      <c r="P337" s="1">
        <v>0.78247299478333954</v>
      </c>
      <c r="Q337" s="1">
        <v>48.507215029044623</v>
      </c>
      <c r="R337" s="1">
        <v>1.0527512027857144</v>
      </c>
      <c r="S337" s="1">
        <v>155.4099867724868</v>
      </c>
      <c r="T337" s="1">
        <v>0.73987847921899641</v>
      </c>
      <c r="U337" s="1">
        <v>48.427913978494615</v>
      </c>
      <c r="V337" s="1">
        <v>1.0972772378472222</v>
      </c>
      <c r="W337" s="1">
        <v>169.592493697479</v>
      </c>
      <c r="X337" s="1">
        <v>0.83013100521146965</v>
      </c>
      <c r="Y337" s="1">
        <v>50.840763440860222</v>
      </c>
      <c r="Z337" s="1">
        <v>0.72513920837343326</v>
      </c>
      <c r="AA337" s="1">
        <v>153.66865864661654</v>
      </c>
      <c r="AB337" s="1">
        <v>0.63064993180222739</v>
      </c>
      <c r="AC337" s="1">
        <v>39.391442780337947</v>
      </c>
    </row>
    <row r="338" spans="1:29" x14ac:dyDescent="0.2">
      <c r="A338" s="1" t="s">
        <v>2211</v>
      </c>
      <c r="B338" s="1" t="str">
        <f t="shared" ca="1" si="5"/>
        <v>Open</v>
      </c>
      <c r="C338" s="1" t="s">
        <v>2771</v>
      </c>
      <c r="D338" s="1" t="s">
        <v>2212</v>
      </c>
      <c r="E338" s="1" t="s">
        <v>2213</v>
      </c>
      <c r="F338" s="1" t="s">
        <v>2214</v>
      </c>
      <c r="G338" s="1" t="s">
        <v>2215</v>
      </c>
      <c r="H338" s="24">
        <v>45141</v>
      </c>
      <c r="I338" s="1"/>
      <c r="J338" s="1">
        <v>48.916654999999999</v>
      </c>
      <c r="K338" s="1">
        <v>106.079785</v>
      </c>
      <c r="L338" s="20">
        <v>0</v>
      </c>
      <c r="M338" s="20">
        <v>0.99930555555555556</v>
      </c>
      <c r="N338" s="1">
        <v>0.97948049969711037</v>
      </c>
      <c r="O338" s="1">
        <v>147.27975232198139</v>
      </c>
      <c r="P338" s="1">
        <v>0.68194548407634414</v>
      </c>
      <c r="Q338" s="1">
        <v>38.641382078853049</v>
      </c>
      <c r="R338" s="1">
        <v>0.95861457152436647</v>
      </c>
      <c r="S338" s="1">
        <v>128.40625906432749</v>
      </c>
      <c r="T338" s="1">
        <v>0.73304696742186382</v>
      </c>
      <c r="U338" s="1">
        <v>39.903987455197132</v>
      </c>
      <c r="V338" s="1">
        <v>1.4475509549532006</v>
      </c>
      <c r="W338" s="1">
        <v>196.15661362721414</v>
      </c>
      <c r="X338" s="1">
        <v>1.0078928703720429</v>
      </c>
      <c r="Y338" s="1">
        <v>51.726630824372762</v>
      </c>
      <c r="Z338" s="1">
        <v>0.91334898372037043</v>
      </c>
      <c r="AA338" s="1">
        <v>154.90187222222221</v>
      </c>
      <c r="AB338" s="1">
        <v>0.80625391839170524</v>
      </c>
      <c r="AC338" s="1">
        <v>43.376654761904767</v>
      </c>
    </row>
    <row r="339" spans="1:29" x14ac:dyDescent="0.2">
      <c r="A339" s="1" t="s">
        <v>1281</v>
      </c>
      <c r="B339" s="1" t="str">
        <f t="shared" ca="1" si="5"/>
        <v>Open</v>
      </c>
      <c r="C339" s="1" t="s">
        <v>2770</v>
      </c>
      <c r="D339" s="1" t="s">
        <v>1282</v>
      </c>
      <c r="E339" s="1" t="s">
        <v>1283</v>
      </c>
      <c r="F339" s="1" t="s">
        <v>145</v>
      </c>
      <c r="G339" s="1" t="s">
        <v>1284</v>
      </c>
      <c r="H339" s="24">
        <v>45138</v>
      </c>
      <c r="I339" s="1"/>
      <c r="J339" s="1">
        <v>47.940531999999997</v>
      </c>
      <c r="K339" s="1">
        <v>106.815693</v>
      </c>
      <c r="L339" s="20">
        <v>0</v>
      </c>
      <c r="M339" s="20">
        <v>0.99930555555555556</v>
      </c>
      <c r="N339" s="1">
        <v>0.49620913004332395</v>
      </c>
      <c r="O339" s="1">
        <v>64.05929471984804</v>
      </c>
      <c r="P339" s="1">
        <v>0.64502456593548396</v>
      </c>
      <c r="Q339" s="1">
        <v>29.163592114695348</v>
      </c>
      <c r="R339" s="1">
        <v>0.80684852129439666</v>
      </c>
      <c r="S339" s="1">
        <v>86.407262583095914</v>
      </c>
      <c r="T339" s="1">
        <v>0.77316964912329766</v>
      </c>
      <c r="U339" s="1">
        <v>32.282972043010751</v>
      </c>
      <c r="V339" s="1">
        <v>0.70875730408396953</v>
      </c>
      <c r="W339" s="1">
        <v>71.989703589743598</v>
      </c>
      <c r="X339" s="1">
        <v>0.82537424813548388</v>
      </c>
      <c r="Y339" s="1">
        <v>34.311839784946237</v>
      </c>
      <c r="Z339" s="1">
        <v>0.46790434304991951</v>
      </c>
      <c r="AA339" s="1">
        <v>67.166476113794943</v>
      </c>
      <c r="AB339" s="1">
        <v>0.50209065018356391</v>
      </c>
      <c r="AC339" s="1">
        <v>25.269609062980027</v>
      </c>
    </row>
    <row r="340" spans="1:29" x14ac:dyDescent="0.2">
      <c r="A340" s="1" t="s">
        <v>1285</v>
      </c>
      <c r="B340" s="1" t="str">
        <f t="shared" ca="1" si="5"/>
        <v>Open</v>
      </c>
      <c r="C340" s="1" t="s">
        <v>2770</v>
      </c>
      <c r="D340" s="1" t="s">
        <v>1286</v>
      </c>
      <c r="E340" s="1" t="s">
        <v>1287</v>
      </c>
      <c r="F340" s="1" t="s">
        <v>28</v>
      </c>
      <c r="G340" s="1" t="s">
        <v>2660</v>
      </c>
      <c r="H340" s="24">
        <v>45151</v>
      </c>
      <c r="I340" s="1"/>
      <c r="J340" s="1">
        <v>47.938018</v>
      </c>
      <c r="K340" s="1">
        <v>106.883208</v>
      </c>
      <c r="L340" s="20">
        <v>0</v>
      </c>
      <c r="M340" s="20">
        <v>0.99930555555555556</v>
      </c>
      <c r="N340" s="1">
        <v>0.82146055434590703</v>
      </c>
      <c r="O340" s="1">
        <v>116.5624240265907</v>
      </c>
      <c r="P340" s="1">
        <v>0.68203060583870967</v>
      </c>
      <c r="Q340" s="1">
        <v>39.418272759856627</v>
      </c>
      <c r="R340" s="1">
        <v>0.82663805321462469</v>
      </c>
      <c r="S340" s="1">
        <v>109.74357122507122</v>
      </c>
      <c r="T340" s="1">
        <v>0.8348895644648745</v>
      </c>
      <c r="U340" s="1">
        <v>38.253743727598561</v>
      </c>
      <c r="V340" s="1">
        <v>0.92495745864594481</v>
      </c>
      <c r="W340" s="1">
        <v>113.41002784425451</v>
      </c>
      <c r="X340" s="1">
        <v>0.85969856692365576</v>
      </c>
      <c r="Y340" s="1">
        <v>38.460411111111107</v>
      </c>
      <c r="Z340" s="1">
        <v>0.66699777127697268</v>
      </c>
      <c r="AA340" s="1">
        <v>119.97138915727322</v>
      </c>
      <c r="AB340" s="1">
        <v>0.60922213688056825</v>
      </c>
      <c r="AC340" s="1">
        <v>32.011023809523813</v>
      </c>
    </row>
    <row r="341" spans="1:29" x14ac:dyDescent="0.2">
      <c r="A341" s="1" t="s">
        <v>1288</v>
      </c>
      <c r="B341" s="1" t="str">
        <f t="shared" ca="1" si="5"/>
        <v>Open</v>
      </c>
      <c r="C341" s="1" t="s">
        <v>2770</v>
      </c>
      <c r="D341" s="1" t="s">
        <v>1289</v>
      </c>
      <c r="E341" s="1" t="s">
        <v>1290</v>
      </c>
      <c r="F341" s="1" t="s">
        <v>48</v>
      </c>
      <c r="G341" s="1" t="s">
        <v>1291</v>
      </c>
      <c r="H341" s="24">
        <v>45151</v>
      </c>
      <c r="I341" s="1"/>
      <c r="J341" s="1">
        <v>47.904668999999998</v>
      </c>
      <c r="K341" s="1">
        <v>106.950014</v>
      </c>
      <c r="L341" s="20">
        <v>0</v>
      </c>
      <c r="M341" s="20">
        <v>0.99930555555555556</v>
      </c>
      <c r="N341" s="1">
        <v>1.0899975483388034</v>
      </c>
      <c r="O341" s="1">
        <v>199.89573699905034</v>
      </c>
      <c r="P341" s="1">
        <v>1.6485342673985661</v>
      </c>
      <c r="Q341" s="1">
        <v>80.265341218637985</v>
      </c>
      <c r="R341" s="1">
        <v>1.1781162158922127</v>
      </c>
      <c r="S341" s="1">
        <v>169.7249021842355</v>
      </c>
      <c r="T341" s="1">
        <v>1.6713689675293903</v>
      </c>
      <c r="U341" s="1">
        <v>78.25320250896057</v>
      </c>
      <c r="V341" s="1">
        <v>1.2195518514108263</v>
      </c>
      <c r="W341" s="1">
        <v>181.94095696106365</v>
      </c>
      <c r="X341" s="1">
        <v>1.7715359624827958</v>
      </c>
      <c r="Y341" s="1">
        <v>74.947575627240141</v>
      </c>
      <c r="Z341" s="1">
        <v>0.85757022090069801</v>
      </c>
      <c r="AA341" s="1">
        <v>145.42810198604403</v>
      </c>
      <c r="AB341" s="1">
        <v>1.3833220351601383</v>
      </c>
      <c r="AC341" s="1">
        <v>66.486456989247301</v>
      </c>
    </row>
    <row r="342" spans="1:29" x14ac:dyDescent="0.2">
      <c r="A342" s="1" t="s">
        <v>2216</v>
      </c>
      <c r="B342" s="1" t="str">
        <f t="shared" ca="1" si="5"/>
        <v>Open</v>
      </c>
      <c r="C342" s="1" t="s">
        <v>2771</v>
      </c>
      <c r="D342" s="1" t="s">
        <v>2217</v>
      </c>
      <c r="E342" s="1" t="s">
        <v>2218</v>
      </c>
      <c r="F342" s="1" t="s">
        <v>2185</v>
      </c>
      <c r="G342" s="1" t="s">
        <v>2219</v>
      </c>
      <c r="H342" s="24">
        <v>45152</v>
      </c>
      <c r="I342" s="1"/>
      <c r="J342" s="1">
        <v>49.026795999999997</v>
      </c>
      <c r="K342" s="1">
        <v>104.045169</v>
      </c>
      <c r="L342" s="20">
        <v>0</v>
      </c>
      <c r="M342" s="20">
        <v>0.99930555555555556</v>
      </c>
      <c r="N342" s="1">
        <v>0.78929031843727782</v>
      </c>
      <c r="O342" s="1">
        <v>129.72358800596263</v>
      </c>
      <c r="P342" s="1">
        <v>0.76576836438207907</v>
      </c>
      <c r="Q342" s="1">
        <v>42.956217602548783</v>
      </c>
      <c r="R342" s="1">
        <v>0.7647264830900965</v>
      </c>
      <c r="S342" s="1">
        <v>108.13403864734296</v>
      </c>
      <c r="T342" s="1">
        <v>0.74968688629103941</v>
      </c>
      <c r="U342" s="1">
        <v>44.29116845878135</v>
      </c>
      <c r="V342" s="1">
        <v>0.92460618475768841</v>
      </c>
      <c r="W342" s="1">
        <v>139.81125866873066</v>
      </c>
      <c r="X342" s="1">
        <v>0.85469261722007184</v>
      </c>
      <c r="Y342" s="1">
        <v>52.007618637992834</v>
      </c>
      <c r="Z342" s="1">
        <v>0.58596322404444445</v>
      </c>
      <c r="AA342" s="1">
        <v>109.24223148148148</v>
      </c>
      <c r="AB342" s="1">
        <v>0.55185551154838708</v>
      </c>
      <c r="AC342" s="1">
        <v>34.80634677419355</v>
      </c>
    </row>
    <row r="343" spans="1:29" x14ac:dyDescent="0.2">
      <c r="A343" s="1" t="s">
        <v>1292</v>
      </c>
      <c r="B343" s="1" t="str">
        <f t="shared" ca="1" si="5"/>
        <v>Open</v>
      </c>
      <c r="C343" s="1" t="s">
        <v>2770</v>
      </c>
      <c r="D343" s="1" t="s">
        <v>1293</v>
      </c>
      <c r="E343" s="1" t="s">
        <v>1294</v>
      </c>
      <c r="F343" s="1" t="s">
        <v>64</v>
      </c>
      <c r="G343" s="1" t="s">
        <v>1295</v>
      </c>
      <c r="H343" s="24">
        <v>45198</v>
      </c>
      <c r="I343" s="1"/>
      <c r="J343" s="1">
        <v>47.861530999999999</v>
      </c>
      <c r="K343" s="1">
        <v>106.826476</v>
      </c>
      <c r="L343" s="20">
        <v>0.29166666666666669</v>
      </c>
      <c r="M343" s="20">
        <v>0.99930555555555556</v>
      </c>
      <c r="N343" s="1">
        <v>0.54847291542022802</v>
      </c>
      <c r="O343" s="1">
        <v>83.539589743589758</v>
      </c>
      <c r="P343" s="1">
        <v>0.78305129647276006</v>
      </c>
      <c r="Q343" s="1">
        <v>43.274016129032255</v>
      </c>
      <c r="R343" s="1">
        <v>0.49590841890503329</v>
      </c>
      <c r="S343" s="1">
        <v>63.890704178537511</v>
      </c>
      <c r="T343" s="1">
        <v>0.67178077049784946</v>
      </c>
      <c r="U343" s="1">
        <v>35.743942293906805</v>
      </c>
      <c r="V343" s="1">
        <v>0.56745400575230764</v>
      </c>
      <c r="W343" s="1">
        <v>72.656901025641034</v>
      </c>
      <c r="X343" s="1">
        <v>0.83376243367921143</v>
      </c>
      <c r="Y343" s="1">
        <v>37.914261290322578</v>
      </c>
      <c r="Z343" s="1">
        <v>0.30225660977304342</v>
      </c>
      <c r="AA343" s="1">
        <v>54.561181605351173</v>
      </c>
      <c r="AB343" s="1">
        <v>0.49160721524155154</v>
      </c>
      <c r="AC343" s="1">
        <v>22.634449308755752</v>
      </c>
    </row>
    <row r="344" spans="1:29" x14ac:dyDescent="0.2">
      <c r="A344" s="1" t="s">
        <v>1296</v>
      </c>
      <c r="B344" s="1" t="str">
        <f t="shared" ca="1" si="5"/>
        <v>Open</v>
      </c>
      <c r="C344" s="1" t="s">
        <v>2770</v>
      </c>
      <c r="D344" s="1" t="s">
        <v>1297</v>
      </c>
      <c r="E344" s="1" t="s">
        <v>1298</v>
      </c>
      <c r="F344" s="1" t="s">
        <v>145</v>
      </c>
      <c r="G344" s="1" t="s">
        <v>1299</v>
      </c>
      <c r="H344" s="24">
        <v>45169</v>
      </c>
      <c r="I344" s="1"/>
      <c r="J344" s="1">
        <v>47.918655000000001</v>
      </c>
      <c r="K344" s="1">
        <v>106.781409</v>
      </c>
      <c r="L344" s="20">
        <v>0</v>
      </c>
      <c r="M344" s="20">
        <v>0.99930555555555556</v>
      </c>
      <c r="N344" s="1">
        <v>0.5180608281021083</v>
      </c>
      <c r="O344" s="1">
        <v>74.616199962013283</v>
      </c>
      <c r="P344" s="1">
        <v>0.7933538056429118</v>
      </c>
      <c r="Q344" s="1">
        <v>41.095503065134096</v>
      </c>
      <c r="R344" s="1">
        <v>0.61079950262773053</v>
      </c>
      <c r="S344" s="1">
        <v>73.675827160493824</v>
      </c>
      <c r="T344" s="1">
        <v>0.56285042187992829</v>
      </c>
      <c r="U344" s="1">
        <v>35.463922222222216</v>
      </c>
      <c r="V344" s="1">
        <v>0.74588495747633432</v>
      </c>
      <c r="W344" s="1">
        <v>83.568727445394103</v>
      </c>
      <c r="X344" s="1">
        <v>0.97596769762544822</v>
      </c>
      <c r="Y344" s="1">
        <v>43.546365232974921</v>
      </c>
      <c r="Z344" s="1">
        <v>0.39060529461030596</v>
      </c>
      <c r="AA344" s="1">
        <v>57.03277616747183</v>
      </c>
      <c r="AB344" s="1">
        <v>0.60176091081298011</v>
      </c>
      <c r="AC344" s="1">
        <v>26.877247695852532</v>
      </c>
    </row>
    <row r="345" spans="1:29" x14ac:dyDescent="0.2">
      <c r="A345" s="1" t="s">
        <v>2220</v>
      </c>
      <c r="B345" s="1" t="str">
        <f t="shared" ca="1" si="5"/>
        <v>Open</v>
      </c>
      <c r="C345" s="1" t="s">
        <v>2771</v>
      </c>
      <c r="D345" s="1" t="s">
        <v>2221</v>
      </c>
      <c r="E345" s="1" t="s">
        <v>2222</v>
      </c>
      <c r="F345" s="1" t="s">
        <v>2223</v>
      </c>
      <c r="G345" s="1" t="s">
        <v>2224</v>
      </c>
      <c r="H345" s="24">
        <v>45188</v>
      </c>
      <c r="I345" s="1"/>
      <c r="J345" s="1">
        <v>47.196618999999998</v>
      </c>
      <c r="K345" s="1">
        <v>102.82343299999999</v>
      </c>
      <c r="L345" s="20">
        <v>0</v>
      </c>
      <c r="M345" s="20">
        <v>0.99930555555555556</v>
      </c>
      <c r="N345" s="1">
        <v>1.0398495601481483</v>
      </c>
      <c r="O345" s="1">
        <v>148.8533925925926</v>
      </c>
      <c r="P345" s="1">
        <v>1.3087666016978496</v>
      </c>
      <c r="Q345" s="1">
        <v>64.623759856630826</v>
      </c>
      <c r="R345" s="1">
        <v>0.89265672656481476</v>
      </c>
      <c r="S345" s="1">
        <v>105.53773518518518</v>
      </c>
      <c r="T345" s="1">
        <v>1.4362446377437275</v>
      </c>
      <c r="U345" s="1">
        <v>60.699541577060927</v>
      </c>
      <c r="V345" s="1">
        <v>1.9390678254972913</v>
      </c>
      <c r="W345" s="1">
        <v>247.20109425524595</v>
      </c>
      <c r="X345" s="1">
        <v>2.4276067067820786</v>
      </c>
      <c r="Y345" s="1">
        <v>93.645287096774226</v>
      </c>
      <c r="Z345" s="1">
        <v>0.74467137657261473</v>
      </c>
      <c r="AA345" s="1">
        <v>112.49675569940894</v>
      </c>
      <c r="AB345" s="1">
        <v>0.76620834848771102</v>
      </c>
      <c r="AC345" s="1">
        <v>52.060535714285699</v>
      </c>
    </row>
    <row r="346" spans="1:29" x14ac:dyDescent="0.2">
      <c r="A346" s="1" t="s">
        <v>2225</v>
      </c>
      <c r="B346" s="1" t="str">
        <f t="shared" ca="1" si="5"/>
        <v>Open</v>
      </c>
      <c r="C346" s="1" t="s">
        <v>2771</v>
      </c>
      <c r="D346" s="1" t="s">
        <v>2226</v>
      </c>
      <c r="E346" s="1" t="s">
        <v>2227</v>
      </c>
      <c r="F346" s="1" t="s">
        <v>2227</v>
      </c>
      <c r="G346" s="1" t="s">
        <v>2228</v>
      </c>
      <c r="H346" s="24">
        <v>45230</v>
      </c>
      <c r="I346" s="1"/>
      <c r="J346" s="1">
        <v>47.868175999999998</v>
      </c>
      <c r="K346" s="1">
        <v>105.24877499999999</v>
      </c>
      <c r="L346" s="20">
        <v>0</v>
      </c>
      <c r="M346" s="20">
        <v>0.99930555555555556</v>
      </c>
      <c r="N346" s="1">
        <v>0.57105323802581198</v>
      </c>
      <c r="O346" s="1">
        <v>86.685820797720794</v>
      </c>
      <c r="P346" s="1">
        <v>0.58843779115770589</v>
      </c>
      <c r="Q346" s="1">
        <v>29.32021612903225</v>
      </c>
      <c r="R346" s="1">
        <v>0.78982273193808605</v>
      </c>
      <c r="S346" s="1">
        <v>90.219777600170502</v>
      </c>
      <c r="T346" s="1">
        <v>0.95495391960071674</v>
      </c>
      <c r="U346" s="1">
        <v>34.613555197132612</v>
      </c>
      <c r="V346" s="1">
        <v>1.5021749329417879</v>
      </c>
      <c r="W346" s="1">
        <v>182.0595546198831</v>
      </c>
      <c r="X346" s="1">
        <v>1.1604986257178098</v>
      </c>
      <c r="Y346" s="1">
        <v>67.188056865653195</v>
      </c>
      <c r="Z346" s="1">
        <v>0.62167543596042374</v>
      </c>
      <c r="AA346" s="1">
        <v>81.085479375696778</v>
      </c>
      <c r="AB346" s="1">
        <v>0.60406776551190478</v>
      </c>
      <c r="AC346" s="1">
        <v>31.140260752688175</v>
      </c>
    </row>
    <row r="347" spans="1:29" x14ac:dyDescent="0.2">
      <c r="A347" s="1" t="s">
        <v>1300</v>
      </c>
      <c r="B347" s="1" t="str">
        <f t="shared" ca="1" si="5"/>
        <v>Open</v>
      </c>
      <c r="C347" s="1" t="s">
        <v>2770</v>
      </c>
      <c r="D347" s="1" t="s">
        <v>1301</v>
      </c>
      <c r="E347" s="1" t="s">
        <v>1302</v>
      </c>
      <c r="F347" s="1" t="s">
        <v>145</v>
      </c>
      <c r="G347" s="1" t="s">
        <v>1303</v>
      </c>
      <c r="H347" s="24">
        <v>45167</v>
      </c>
      <c r="I347" s="1"/>
      <c r="J347" s="1">
        <v>47.953913999999997</v>
      </c>
      <c r="K347" s="1">
        <v>106.82640499999999</v>
      </c>
      <c r="L347" s="20">
        <v>0</v>
      </c>
      <c r="M347" s="20">
        <v>0.99930555555555556</v>
      </c>
      <c r="N347" s="1">
        <v>0.45964279304034189</v>
      </c>
      <c r="O347" s="1">
        <v>72.402058081671413</v>
      </c>
      <c r="P347" s="1">
        <v>0.71128265129713253</v>
      </c>
      <c r="Q347" s="1">
        <v>37.04256953405018</v>
      </c>
      <c r="R347" s="1">
        <v>0.52029829179392217</v>
      </c>
      <c r="S347" s="1">
        <v>76.285739316239315</v>
      </c>
      <c r="T347" s="1">
        <v>0.72768273873655909</v>
      </c>
      <c r="U347" s="1">
        <v>46.556546953405018</v>
      </c>
      <c r="V347" s="1">
        <v>0.530940352165717</v>
      </c>
      <c r="W347" s="1">
        <v>62.894775840455829</v>
      </c>
      <c r="X347" s="1">
        <v>0.71946524188709693</v>
      </c>
      <c r="Y347" s="1">
        <v>31.234470609318993</v>
      </c>
      <c r="Z347" s="1">
        <v>0.34973361936178199</v>
      </c>
      <c r="AA347" s="1">
        <v>71.079655394524949</v>
      </c>
      <c r="AB347" s="1">
        <v>0.4882774871904762</v>
      </c>
      <c r="AC347" s="1">
        <v>29.632655529953919</v>
      </c>
    </row>
    <row r="348" spans="1:29" x14ac:dyDescent="0.2">
      <c r="A348" s="1" t="s">
        <v>1304</v>
      </c>
      <c r="B348" s="1" t="str">
        <f t="shared" ca="1" si="5"/>
        <v>Open</v>
      </c>
      <c r="C348" s="1" t="s">
        <v>2770</v>
      </c>
      <c r="D348" s="1" t="s">
        <v>1305</v>
      </c>
      <c r="E348" s="1" t="s">
        <v>1306</v>
      </c>
      <c r="F348" s="1" t="s">
        <v>28</v>
      </c>
      <c r="G348" s="1" t="s">
        <v>1307</v>
      </c>
      <c r="H348" s="24">
        <v>45175</v>
      </c>
      <c r="I348" s="1"/>
      <c r="J348" s="1">
        <v>47.917932999999998</v>
      </c>
      <c r="K348" s="1">
        <v>106.85534199999999</v>
      </c>
      <c r="L348" s="20">
        <v>0</v>
      </c>
      <c r="M348" s="20">
        <v>0.99930555555555556</v>
      </c>
      <c r="N348" s="1">
        <v>0.50220759347622035</v>
      </c>
      <c r="O348" s="1">
        <v>85.221639791073116</v>
      </c>
      <c r="P348" s="1">
        <v>0.58354247546630822</v>
      </c>
      <c r="Q348" s="1">
        <v>35.696296415770604</v>
      </c>
      <c r="R348" s="1">
        <v>0.4274430645522318</v>
      </c>
      <c r="S348" s="1">
        <v>64.272172364672358</v>
      </c>
      <c r="T348" s="1">
        <v>0.55742455998817209</v>
      </c>
      <c r="U348" s="1">
        <v>32.29281720430108</v>
      </c>
      <c r="V348" s="1">
        <v>0.57926625128797726</v>
      </c>
      <c r="W348" s="1">
        <v>85.043543247863241</v>
      </c>
      <c r="X348" s="1">
        <v>0.73162037635734778</v>
      </c>
      <c r="Y348" s="1">
        <v>36.673427956989251</v>
      </c>
      <c r="Z348" s="1">
        <v>0.44066014884004284</v>
      </c>
      <c r="AA348" s="1">
        <v>77.818044551798167</v>
      </c>
      <c r="AB348" s="1">
        <v>0.42098831369700457</v>
      </c>
      <c r="AC348" s="1">
        <v>28.981995775729644</v>
      </c>
    </row>
    <row r="349" spans="1:29" x14ac:dyDescent="0.2">
      <c r="A349" s="1" t="s">
        <v>1308</v>
      </c>
      <c r="B349" s="1" t="str">
        <f t="shared" ca="1" si="5"/>
        <v>Open</v>
      </c>
      <c r="C349" s="1" t="s">
        <v>2770</v>
      </c>
      <c r="D349" s="1" t="s">
        <v>1309</v>
      </c>
      <c r="E349" s="1" t="s">
        <v>1310</v>
      </c>
      <c r="F349" s="1" t="s">
        <v>48</v>
      </c>
      <c r="G349" s="1" t="s">
        <v>1311</v>
      </c>
      <c r="H349" s="24">
        <v>45167</v>
      </c>
      <c r="I349" s="1"/>
      <c r="J349" s="1">
        <v>47.914794499999999</v>
      </c>
      <c r="K349" s="1">
        <v>106.935895</v>
      </c>
      <c r="L349" s="20">
        <v>0</v>
      </c>
      <c r="M349" s="20">
        <v>0.99930555555555556</v>
      </c>
      <c r="N349" s="1">
        <v>0.72477312688089268</v>
      </c>
      <c r="O349" s="1">
        <v>130.1058237226971</v>
      </c>
      <c r="P349" s="1">
        <v>1.0776176259921146</v>
      </c>
      <c r="Q349" s="1">
        <v>47.536598207885298</v>
      </c>
      <c r="R349" s="1">
        <v>0.76505508180199433</v>
      </c>
      <c r="S349" s="1">
        <v>118.44663295346629</v>
      </c>
      <c r="T349" s="1">
        <v>1.0100160802426525</v>
      </c>
      <c r="U349" s="1">
        <v>44.109678853046582</v>
      </c>
      <c r="V349" s="1">
        <v>0.87616637813990506</v>
      </c>
      <c r="W349" s="1">
        <v>149.197604634378</v>
      </c>
      <c r="X349" s="1">
        <v>0.98720678529426531</v>
      </c>
      <c r="Y349" s="1">
        <v>47.131922939068112</v>
      </c>
      <c r="Z349" s="1">
        <v>0.67647005137949545</v>
      </c>
      <c r="AA349" s="1">
        <v>132.06173966720345</v>
      </c>
      <c r="AB349" s="1">
        <v>0.90287127422811075</v>
      </c>
      <c r="AC349" s="1">
        <v>36.96910215053763</v>
      </c>
    </row>
    <row r="350" spans="1:29" x14ac:dyDescent="0.2">
      <c r="A350" s="1" t="s">
        <v>2229</v>
      </c>
      <c r="B350" s="1" t="str">
        <f t="shared" ca="1" si="5"/>
        <v>Open</v>
      </c>
      <c r="C350" s="1" t="s">
        <v>2771</v>
      </c>
      <c r="D350" s="1" t="s">
        <v>2230</v>
      </c>
      <c r="E350" s="1" t="s">
        <v>2231</v>
      </c>
      <c r="F350" s="1" t="s">
        <v>2232</v>
      </c>
      <c r="G350" s="1" t="s">
        <v>2233</v>
      </c>
      <c r="H350" s="24">
        <v>45176</v>
      </c>
      <c r="I350" s="1"/>
      <c r="J350" s="1">
        <v>46.348801999999999</v>
      </c>
      <c r="K350" s="1">
        <v>108.383528</v>
      </c>
      <c r="L350" s="20">
        <v>0</v>
      </c>
      <c r="M350" s="20">
        <v>0.99930555555555556</v>
      </c>
      <c r="N350" s="1">
        <v>0.80373950526909788</v>
      </c>
      <c r="O350" s="1">
        <v>111.15160047483381</v>
      </c>
      <c r="P350" s="1">
        <v>0.72366401350553711</v>
      </c>
      <c r="Q350" s="1">
        <v>50.366347188233846</v>
      </c>
      <c r="R350" s="1">
        <v>1.0968043856585943</v>
      </c>
      <c r="S350" s="1">
        <v>120.60776685660021</v>
      </c>
      <c r="T350" s="1">
        <v>0.83172042452473116</v>
      </c>
      <c r="U350" s="1">
        <v>61.437311827956989</v>
      </c>
      <c r="V350" s="1">
        <v>1.1880164380378158</v>
      </c>
      <c r="W350" s="1">
        <v>143.39458446343781</v>
      </c>
      <c r="X350" s="1">
        <v>0.95857249082684437</v>
      </c>
      <c r="Y350" s="1">
        <v>70.435391175380047</v>
      </c>
      <c r="Z350" s="1">
        <v>0.61210063305099294</v>
      </c>
      <c r="AA350" s="1">
        <v>104.66936017176597</v>
      </c>
      <c r="AB350" s="1">
        <v>0.47822059205721973</v>
      </c>
      <c r="AC350" s="1">
        <v>42.647489631336406</v>
      </c>
    </row>
    <row r="351" spans="1:29" x14ac:dyDescent="0.2">
      <c r="A351" s="1" t="s">
        <v>1312</v>
      </c>
      <c r="B351" s="1" t="str">
        <f t="shared" ca="1" si="5"/>
        <v>Open</v>
      </c>
      <c r="C351" s="1" t="s">
        <v>2770</v>
      </c>
      <c r="D351" s="1" t="s">
        <v>1313</v>
      </c>
      <c r="E351" s="1" t="s">
        <v>1314</v>
      </c>
      <c r="F351" s="1" t="s">
        <v>11</v>
      </c>
      <c r="G351" s="1" t="s">
        <v>1315</v>
      </c>
      <c r="H351" s="24">
        <v>45179</v>
      </c>
      <c r="I351" s="1"/>
      <c r="J351" s="1">
        <v>47.965013999999996</v>
      </c>
      <c r="K351" s="1">
        <v>106.917689</v>
      </c>
      <c r="L351" s="20">
        <v>0</v>
      </c>
      <c r="M351" s="20">
        <v>0.99930555555555556</v>
      </c>
      <c r="N351" s="1">
        <v>0.57796934816379864</v>
      </c>
      <c r="O351" s="1">
        <v>88.489642108262117</v>
      </c>
      <c r="P351" s="1">
        <v>0.68209481209677414</v>
      </c>
      <c r="Q351" s="1">
        <v>38.340892473118281</v>
      </c>
      <c r="R351" s="1">
        <v>0.58768731524169038</v>
      </c>
      <c r="S351" s="1">
        <v>86.271067901234574</v>
      </c>
      <c r="T351" s="1">
        <v>0.5461681428577061</v>
      </c>
      <c r="U351" s="1">
        <v>33.245036200716847</v>
      </c>
      <c r="V351" s="1">
        <v>0.60131789061962015</v>
      </c>
      <c r="W351" s="1">
        <v>83.042964824311511</v>
      </c>
      <c r="X351" s="1">
        <v>0.61144190722043013</v>
      </c>
      <c r="Y351" s="1">
        <v>34.037531182795696</v>
      </c>
      <c r="Z351" s="1">
        <v>0.49444848712962958</v>
      </c>
      <c r="AA351" s="1">
        <v>91.403646464646457</v>
      </c>
      <c r="AB351" s="1">
        <v>0.41276126886098313</v>
      </c>
      <c r="AC351" s="1">
        <v>26.16466589861751</v>
      </c>
    </row>
    <row r="352" spans="1:29" x14ac:dyDescent="0.2">
      <c r="A352" s="1" t="s">
        <v>1316</v>
      </c>
      <c r="B352" s="1" t="str">
        <f t="shared" ca="1" si="5"/>
        <v>Open</v>
      </c>
      <c r="C352" s="1" t="s">
        <v>2770</v>
      </c>
      <c r="D352" s="1" t="s">
        <v>1317</v>
      </c>
      <c r="E352" s="1" t="s">
        <v>1318</v>
      </c>
      <c r="F352" s="1" t="s">
        <v>33</v>
      </c>
      <c r="G352" s="1" t="s">
        <v>1319</v>
      </c>
      <c r="H352" s="24">
        <v>45173</v>
      </c>
      <c r="I352" s="1"/>
      <c r="J352" s="1">
        <v>47.927072000000003</v>
      </c>
      <c r="K352" s="1">
        <v>106.90407500000001</v>
      </c>
      <c r="L352" s="20">
        <v>0</v>
      </c>
      <c r="M352" s="20">
        <v>0.99930555555555556</v>
      </c>
      <c r="N352" s="1">
        <v>0.93921871525853751</v>
      </c>
      <c r="O352" s="1">
        <v>163.13926915479581</v>
      </c>
      <c r="P352" s="1">
        <v>1.1252553135534054</v>
      </c>
      <c r="Q352" s="1">
        <v>51.36068136200717</v>
      </c>
      <c r="R352" s="1">
        <v>0.87831823702469125</v>
      </c>
      <c r="S352" s="1">
        <v>131.84204890788223</v>
      </c>
      <c r="T352" s="1">
        <v>1.0530804340526878</v>
      </c>
      <c r="U352" s="1">
        <v>46.105149103942665</v>
      </c>
      <c r="V352" s="1">
        <v>0.98694984305943034</v>
      </c>
      <c r="W352" s="1">
        <v>162.52160271604941</v>
      </c>
      <c r="X352" s="1">
        <v>0.96894947440824375</v>
      </c>
      <c r="Y352" s="1">
        <v>47.199422222222246</v>
      </c>
      <c r="Z352" s="1">
        <v>0.79804397969833607</v>
      </c>
      <c r="AA352" s="1">
        <v>157.19837037037038</v>
      </c>
      <c r="AB352" s="1">
        <v>0.78309843770890908</v>
      </c>
      <c r="AC352" s="1">
        <v>42.902992703533023</v>
      </c>
    </row>
    <row r="353" spans="1:29" x14ac:dyDescent="0.2">
      <c r="A353" s="1" t="s">
        <v>1320</v>
      </c>
      <c r="B353" s="1" t="str">
        <f t="shared" ca="1" si="5"/>
        <v>Open</v>
      </c>
      <c r="C353" s="1" t="s">
        <v>2770</v>
      </c>
      <c r="D353" s="1" t="s">
        <v>1321</v>
      </c>
      <c r="E353" s="1" t="s">
        <v>1322</v>
      </c>
      <c r="F353" s="1" t="s">
        <v>48</v>
      </c>
      <c r="G353" s="1" t="s">
        <v>1323</v>
      </c>
      <c r="H353" s="24">
        <v>45168</v>
      </c>
      <c r="I353" s="1"/>
      <c r="J353" s="1">
        <v>47.923734000000003</v>
      </c>
      <c r="K353" s="1">
        <v>106.964286</v>
      </c>
      <c r="L353" s="20">
        <v>0</v>
      </c>
      <c r="M353" s="20">
        <v>0.99930555555555556</v>
      </c>
      <c r="N353" s="1">
        <v>0.90130844489690387</v>
      </c>
      <c r="O353" s="1">
        <v>139.3012781386515</v>
      </c>
      <c r="P353" s="1">
        <v>1.1039553871301073</v>
      </c>
      <c r="Q353" s="1">
        <v>45.949669175627236</v>
      </c>
      <c r="R353" s="1">
        <v>0.98578734594207018</v>
      </c>
      <c r="S353" s="1">
        <v>124.65661633428299</v>
      </c>
      <c r="T353" s="1">
        <v>1.0659402229534052</v>
      </c>
      <c r="U353" s="1">
        <v>49.045367741935479</v>
      </c>
      <c r="V353" s="1">
        <v>0.8907386581289648</v>
      </c>
      <c r="W353" s="1">
        <v>120.8370167331434</v>
      </c>
      <c r="X353" s="1">
        <v>0.94224839563691754</v>
      </c>
      <c r="Y353" s="1">
        <v>36.371849462365596</v>
      </c>
      <c r="Z353" s="1">
        <v>0.73371230494471285</v>
      </c>
      <c r="AA353" s="1">
        <v>143.8734723564144</v>
      </c>
      <c r="AB353" s="1">
        <v>0.66477055759896464</v>
      </c>
      <c r="AC353" s="1">
        <v>34.296827558741541</v>
      </c>
    </row>
    <row r="354" spans="1:29" x14ac:dyDescent="0.2">
      <c r="A354" s="1" t="s">
        <v>1324</v>
      </c>
      <c r="B354" s="1" t="str">
        <f t="shared" ca="1" si="5"/>
        <v>Open</v>
      </c>
      <c r="C354" s="1" t="s">
        <v>2770</v>
      </c>
      <c r="D354" s="1" t="s">
        <v>1325</v>
      </c>
      <c r="E354" s="1" t="s">
        <v>1326</v>
      </c>
      <c r="F354" s="1" t="s">
        <v>48</v>
      </c>
      <c r="G354" s="1" t="s">
        <v>1327</v>
      </c>
      <c r="H354" s="24">
        <v>45169</v>
      </c>
      <c r="I354" s="1"/>
      <c r="J354" s="1">
        <v>47.912261999999998</v>
      </c>
      <c r="K354" s="1">
        <v>106.98435600000001</v>
      </c>
      <c r="L354" s="20">
        <v>0</v>
      </c>
      <c r="M354" s="20">
        <v>0.99930555555555556</v>
      </c>
      <c r="N354" s="1">
        <v>1.1579234694526876</v>
      </c>
      <c r="O354" s="1">
        <v>182.14450089268757</v>
      </c>
      <c r="P354" s="1">
        <v>1.6012356842792117</v>
      </c>
      <c r="Q354" s="1">
        <v>79.255512544802897</v>
      </c>
      <c r="R354" s="1">
        <v>1.2658889373157645</v>
      </c>
      <c r="S354" s="1">
        <v>165.22362060778727</v>
      </c>
      <c r="T354" s="1">
        <v>1.2709129877172043</v>
      </c>
      <c r="U354" s="1">
        <v>72.229540501792087</v>
      </c>
      <c r="V354" s="1">
        <v>1.4636405037515672</v>
      </c>
      <c r="W354" s="1">
        <v>179.19228077872745</v>
      </c>
      <c r="X354" s="1">
        <v>1.5865377103648746</v>
      </c>
      <c r="Y354" s="1">
        <v>76.783100358422942</v>
      </c>
      <c r="Z354" s="1">
        <v>1.0165832494278046</v>
      </c>
      <c r="AA354" s="1">
        <v>185.62190123456787</v>
      </c>
      <c r="AB354" s="1">
        <v>1.1760368100007679</v>
      </c>
      <c r="AC354" s="1">
        <v>60.24142511520737</v>
      </c>
    </row>
    <row r="355" spans="1:29" x14ac:dyDescent="0.2">
      <c r="A355" s="1" t="s">
        <v>2234</v>
      </c>
      <c r="B355" s="1" t="str">
        <f t="shared" ca="1" si="5"/>
        <v>Open</v>
      </c>
      <c r="C355" s="1" t="s">
        <v>2771</v>
      </c>
      <c r="D355" s="1" t="s">
        <v>2235</v>
      </c>
      <c r="E355" s="1" t="s">
        <v>2236</v>
      </c>
      <c r="F355" s="1" t="s">
        <v>2237</v>
      </c>
      <c r="G355" s="1" t="s">
        <v>2661</v>
      </c>
      <c r="H355" s="24">
        <v>45190</v>
      </c>
      <c r="I355" s="1"/>
      <c r="J355" s="1">
        <v>47.323067000000002</v>
      </c>
      <c r="K355" s="1">
        <v>110.63569</v>
      </c>
      <c r="L355" s="20">
        <v>0</v>
      </c>
      <c r="M355" s="20">
        <v>0.99930555555555556</v>
      </c>
      <c r="N355" s="1">
        <v>0.91699098824910885</v>
      </c>
      <c r="O355" s="1">
        <v>153.86625055704098</v>
      </c>
      <c r="P355" s="1">
        <v>0.63600212577624538</v>
      </c>
      <c r="Q355" s="1">
        <v>30.739740613026814</v>
      </c>
      <c r="R355" s="1">
        <v>1.0042430907760578</v>
      </c>
      <c r="S355" s="1">
        <v>128.05357894736844</v>
      </c>
      <c r="T355" s="1">
        <v>0.51084064273906815</v>
      </c>
      <c r="U355" s="1">
        <v>29.093139784946235</v>
      </c>
      <c r="V355" s="1">
        <v>1.5048544322820765</v>
      </c>
      <c r="W355" s="1">
        <v>205.44457010582013</v>
      </c>
      <c r="X355" s="1">
        <v>0.71909131346451616</v>
      </c>
      <c r="Y355" s="1">
        <v>41.857287096774201</v>
      </c>
      <c r="Z355" s="1">
        <v>1.1086652246914681</v>
      </c>
      <c r="AA355" s="1">
        <v>180.02512886382621</v>
      </c>
      <c r="AB355" s="1">
        <v>0.59511174589439342</v>
      </c>
      <c r="AC355" s="1">
        <v>33.898223886328729</v>
      </c>
    </row>
    <row r="356" spans="1:29" x14ac:dyDescent="0.2">
      <c r="A356" s="1" t="s">
        <v>1328</v>
      </c>
      <c r="B356" s="1" t="str">
        <f t="shared" ca="1" si="5"/>
        <v>Open</v>
      </c>
      <c r="C356" s="1" t="s">
        <v>2770</v>
      </c>
      <c r="D356" s="1" t="s">
        <v>1329</v>
      </c>
      <c r="E356" s="1" t="s">
        <v>1330</v>
      </c>
      <c r="F356" s="1" t="s">
        <v>48</v>
      </c>
      <c r="G356" s="1" t="s">
        <v>1331</v>
      </c>
      <c r="H356" s="24">
        <v>45181</v>
      </c>
      <c r="I356" s="1"/>
      <c r="J356" s="1">
        <v>47.916800000000002</v>
      </c>
      <c r="K356" s="1">
        <v>106.934332</v>
      </c>
      <c r="L356" s="20">
        <v>0</v>
      </c>
      <c r="M356" s="20">
        <v>0.99930555555555556</v>
      </c>
      <c r="N356" s="1">
        <v>0.46331450352125353</v>
      </c>
      <c r="O356" s="1">
        <v>74.163870769230769</v>
      </c>
      <c r="P356" s="1">
        <v>0.76691402000143361</v>
      </c>
      <c r="Q356" s="1">
        <v>38.136986021505379</v>
      </c>
      <c r="R356" s="1">
        <v>0.4723269933262107</v>
      </c>
      <c r="S356" s="1">
        <v>71.762746438746433</v>
      </c>
      <c r="T356" s="1">
        <v>0.71842090161586947</v>
      </c>
      <c r="U356" s="1">
        <v>40.339313311086393</v>
      </c>
      <c r="V356" s="1">
        <v>0.5205756688141312</v>
      </c>
      <c r="W356" s="1">
        <v>77.160501823361855</v>
      </c>
      <c r="X356" s="1">
        <v>0.66339197709820785</v>
      </c>
      <c r="Y356" s="1">
        <v>36.890516845878132</v>
      </c>
      <c r="Z356" s="1">
        <v>0.37880911599845674</v>
      </c>
      <c r="AA356" s="1">
        <v>64.192282407407404</v>
      </c>
      <c r="AB356" s="1">
        <v>0.60626755294815671</v>
      </c>
      <c r="AC356" s="1">
        <v>28.153337557603681</v>
      </c>
    </row>
    <row r="357" spans="1:29" x14ac:dyDescent="0.2">
      <c r="A357" s="1" t="s">
        <v>1332</v>
      </c>
      <c r="B357" s="1" t="str">
        <f t="shared" ca="1" si="5"/>
        <v>Open</v>
      </c>
      <c r="C357" s="1" t="s">
        <v>2770</v>
      </c>
      <c r="D357" s="1" t="s">
        <v>1333</v>
      </c>
      <c r="E357" s="1" t="s">
        <v>1334</v>
      </c>
      <c r="F357" s="1" t="s">
        <v>841</v>
      </c>
      <c r="G357" s="1" t="s">
        <v>1335</v>
      </c>
      <c r="H357" s="24">
        <v>45181</v>
      </c>
      <c r="I357" s="1"/>
      <c r="J357" s="1">
        <v>47.773339999999997</v>
      </c>
      <c r="K357" s="1">
        <v>107.254103</v>
      </c>
      <c r="L357" s="20">
        <v>0</v>
      </c>
      <c r="M357" s="20">
        <v>0.99930555555555556</v>
      </c>
      <c r="N357" s="1">
        <v>0.90897589335639128</v>
      </c>
      <c r="O357" s="1">
        <v>155.71034241215574</v>
      </c>
      <c r="P357" s="1">
        <v>1.1933110822351254</v>
      </c>
      <c r="Q357" s="1">
        <v>53.225987096774183</v>
      </c>
      <c r="R357" s="1">
        <v>0.83320771314814801</v>
      </c>
      <c r="S357" s="1">
        <v>114.14160968660968</v>
      </c>
      <c r="T357" s="1">
        <v>0.93604746396881711</v>
      </c>
      <c r="U357" s="1">
        <v>53.784503942652329</v>
      </c>
      <c r="V357" s="1">
        <v>1.0515414808783856</v>
      </c>
      <c r="W357" s="1">
        <v>157.8804807787275</v>
      </c>
      <c r="X357" s="1">
        <v>1.244216396994982</v>
      </c>
      <c r="Y357" s="1">
        <v>57.071509677419364</v>
      </c>
      <c r="Z357" s="1">
        <v>0.6275572994997316</v>
      </c>
      <c r="AA357" s="1">
        <v>119.5072544283414</v>
      </c>
      <c r="AB357" s="1">
        <v>0.79769910001152067</v>
      </c>
      <c r="AC357" s="1">
        <v>43.797435867895558</v>
      </c>
    </row>
    <row r="358" spans="1:29" x14ac:dyDescent="0.2">
      <c r="A358" s="1" t="s">
        <v>1336</v>
      </c>
      <c r="B358" s="1" t="str">
        <f t="shared" ca="1" si="5"/>
        <v>Open</v>
      </c>
      <c r="C358" s="1" t="s">
        <v>2770</v>
      </c>
      <c r="D358" s="1" t="s">
        <v>1337</v>
      </c>
      <c r="E358" s="1" t="s">
        <v>1338</v>
      </c>
      <c r="F358" s="1" t="s">
        <v>28</v>
      </c>
      <c r="G358" s="1" t="s">
        <v>2662</v>
      </c>
      <c r="H358" s="24">
        <v>45231</v>
      </c>
      <c r="I358" s="1"/>
      <c r="J358" s="1">
        <v>47.924106000000002</v>
      </c>
      <c r="K358" s="1">
        <v>106.89288999999999</v>
      </c>
      <c r="L358" s="20">
        <v>0</v>
      </c>
      <c r="M358" s="20">
        <v>0.99930555555555556</v>
      </c>
      <c r="N358" s="1">
        <v>0.61380362160396951</v>
      </c>
      <c r="O358" s="1">
        <v>89.906280569800558</v>
      </c>
      <c r="P358" s="1">
        <v>0.7330243986003584</v>
      </c>
      <c r="Q358" s="1">
        <v>38.069738746755654</v>
      </c>
      <c r="R358" s="1">
        <v>0.65655878209686602</v>
      </c>
      <c r="S358" s="1">
        <v>73.763677587844256</v>
      </c>
      <c r="T358" s="1">
        <v>0.63285173803297512</v>
      </c>
      <c r="U358" s="1">
        <v>34.825628673835119</v>
      </c>
      <c r="V358" s="1">
        <v>0.69395106884062674</v>
      </c>
      <c r="W358" s="1">
        <v>90.430431358024691</v>
      </c>
      <c r="X358" s="1">
        <v>0.64569937221341001</v>
      </c>
      <c r="Y358" s="1">
        <v>37.566430651340987</v>
      </c>
      <c r="Z358" s="1">
        <v>0.52242681883628572</v>
      </c>
      <c r="AA358" s="1">
        <v>85.277479334406863</v>
      </c>
      <c r="AB358" s="1">
        <v>0.6774922374807989</v>
      </c>
      <c r="AC358" s="1">
        <v>28.232310291858671</v>
      </c>
    </row>
    <row r="359" spans="1:29" x14ac:dyDescent="0.2">
      <c r="A359" s="1" t="s">
        <v>1339</v>
      </c>
      <c r="B359" s="1" t="str">
        <f t="shared" ca="1" si="5"/>
        <v>Open</v>
      </c>
      <c r="C359" s="1" t="s">
        <v>2770</v>
      </c>
      <c r="D359" s="1" t="s">
        <v>1340</v>
      </c>
      <c r="E359" s="1" t="s">
        <v>1341</v>
      </c>
      <c r="F359" s="1" t="s">
        <v>48</v>
      </c>
      <c r="G359" s="1" t="s">
        <v>1342</v>
      </c>
      <c r="H359" s="24">
        <v>45192</v>
      </c>
      <c r="I359" s="1"/>
      <c r="J359" s="1">
        <v>47.934414199999999</v>
      </c>
      <c r="K359" s="1">
        <v>106.93209299999999</v>
      </c>
      <c r="L359" s="20">
        <v>0</v>
      </c>
      <c r="M359" s="20">
        <v>0.99930555555555556</v>
      </c>
      <c r="N359" s="1">
        <v>0.71542999473897451</v>
      </c>
      <c r="O359" s="1">
        <v>110.73230362773029</v>
      </c>
      <c r="P359" s="1">
        <v>0.89639713976523294</v>
      </c>
      <c r="Q359" s="1">
        <v>42.018544444444451</v>
      </c>
      <c r="R359" s="1">
        <v>0.74744199442687542</v>
      </c>
      <c r="S359" s="1">
        <v>110.64462440645774</v>
      </c>
      <c r="T359" s="1">
        <v>0.81024035852258081</v>
      </c>
      <c r="U359" s="1">
        <v>37.673477777777769</v>
      </c>
      <c r="V359" s="1">
        <v>0.81718639518463443</v>
      </c>
      <c r="W359" s="1">
        <v>113.97542774928775</v>
      </c>
      <c r="X359" s="1">
        <v>0.85365393942723999</v>
      </c>
      <c r="Y359" s="1">
        <v>41.883499283154116</v>
      </c>
      <c r="Z359" s="1">
        <v>0.71771649473376276</v>
      </c>
      <c r="AA359" s="1">
        <v>141.73631186258723</v>
      </c>
      <c r="AB359" s="1">
        <v>0.76600211351728087</v>
      </c>
      <c r="AC359" s="1">
        <v>39.210193164362515</v>
      </c>
    </row>
    <row r="360" spans="1:29" x14ac:dyDescent="0.2">
      <c r="A360" s="1" t="s">
        <v>1343</v>
      </c>
      <c r="B360" s="1" t="str">
        <f t="shared" ca="1" si="5"/>
        <v>Open</v>
      </c>
      <c r="C360" s="1" t="s">
        <v>2770</v>
      </c>
      <c r="D360" s="1" t="s">
        <v>1344</v>
      </c>
      <c r="E360" s="1" t="s">
        <v>1345</v>
      </c>
      <c r="F360" s="1" t="s">
        <v>28</v>
      </c>
      <c r="G360" s="1" t="s">
        <v>1346</v>
      </c>
      <c r="H360" s="24">
        <v>45202</v>
      </c>
      <c r="I360" s="1"/>
      <c r="J360" s="1">
        <v>47.925184999999999</v>
      </c>
      <c r="K360" s="1">
        <v>106.878129</v>
      </c>
      <c r="L360" s="20">
        <v>0</v>
      </c>
      <c r="M360" s="20">
        <v>0.99930555555555556</v>
      </c>
      <c r="N360" s="1">
        <v>0.63502818173648612</v>
      </c>
      <c r="O360" s="1">
        <v>100.8316100854701</v>
      </c>
      <c r="P360" s="1">
        <v>0.63621605394551972</v>
      </c>
      <c r="Q360" s="1">
        <v>35.85437383512545</v>
      </c>
      <c r="R360" s="1">
        <v>0.70509716693209901</v>
      </c>
      <c r="S360" s="1">
        <v>99.252122507122479</v>
      </c>
      <c r="T360" s="1">
        <v>0.7053115792082435</v>
      </c>
      <c r="U360" s="1">
        <v>38.254098207885299</v>
      </c>
      <c r="V360" s="1">
        <v>0.71367906176826212</v>
      </c>
      <c r="W360" s="1">
        <v>103.33997872744538</v>
      </c>
      <c r="X360" s="1">
        <v>0.71656785196344097</v>
      </c>
      <c r="Y360" s="1">
        <v>39.75533440860216</v>
      </c>
      <c r="Z360" s="1">
        <v>0.54233525856172837</v>
      </c>
      <c r="AA360" s="1">
        <v>95.271612794612807</v>
      </c>
      <c r="AB360" s="1">
        <v>0.58660422169930893</v>
      </c>
      <c r="AC360" s="1">
        <v>33.660628648233498</v>
      </c>
    </row>
    <row r="361" spans="1:29" x14ac:dyDescent="0.2">
      <c r="A361" s="1" t="s">
        <v>1347</v>
      </c>
      <c r="B361" s="1" t="str">
        <f t="shared" ca="1" si="5"/>
        <v>Open</v>
      </c>
      <c r="C361" s="1" t="s">
        <v>2770</v>
      </c>
      <c r="D361" s="1" t="s">
        <v>1348</v>
      </c>
      <c r="E361" s="1" t="s">
        <v>1349</v>
      </c>
      <c r="F361" s="1" t="s">
        <v>11</v>
      </c>
      <c r="G361" s="1" t="s">
        <v>1350</v>
      </c>
      <c r="H361" s="24">
        <v>45359</v>
      </c>
      <c r="I361" s="1"/>
      <c r="J361" s="1">
        <v>47.916150000000002</v>
      </c>
      <c r="K361" s="1">
        <v>106.921387</v>
      </c>
      <c r="L361" s="20">
        <v>0</v>
      </c>
      <c r="M361" s="20">
        <v>0.99930555555555556</v>
      </c>
      <c r="N361" s="1">
        <v>0.74085210854613504</v>
      </c>
      <c r="O361" s="1">
        <v>140.44479832858499</v>
      </c>
      <c r="P361" s="1">
        <v>0.6901926982103942</v>
      </c>
      <c r="Q361" s="1">
        <v>66.24088387096775</v>
      </c>
      <c r="R361" s="1">
        <v>0.86157055502991442</v>
      </c>
      <c r="S361" s="1">
        <v>147.34678632478634</v>
      </c>
      <c r="T361" s="1">
        <v>0.90951760930430103</v>
      </c>
      <c r="U361" s="1">
        <v>74.854234767025062</v>
      </c>
      <c r="V361" s="1">
        <v>0.66498510545973266</v>
      </c>
      <c r="W361" s="1">
        <v>124.83445190635449</v>
      </c>
      <c r="X361" s="1">
        <v>0.6091127191458896</v>
      </c>
      <c r="Y361" s="1">
        <v>49.186931471476242</v>
      </c>
      <c r="Z361" s="1">
        <v>0.50160935198115675</v>
      </c>
      <c r="AA361" s="1">
        <v>100.39434827810267</v>
      </c>
      <c r="AB361" s="1">
        <v>0.46804546366801064</v>
      </c>
      <c r="AC361" s="1">
        <v>48.709708333333339</v>
      </c>
    </row>
    <row r="362" spans="1:29" x14ac:dyDescent="0.2">
      <c r="A362" s="1" t="s">
        <v>1351</v>
      </c>
      <c r="B362" s="1" t="str">
        <f t="shared" ca="1" si="5"/>
        <v>Open</v>
      </c>
      <c r="C362" s="1" t="s">
        <v>2770</v>
      </c>
      <c r="D362" s="1" t="s">
        <v>1352</v>
      </c>
      <c r="E362" s="1" t="s">
        <v>1353</v>
      </c>
      <c r="F362" s="1" t="s">
        <v>145</v>
      </c>
      <c r="G362" s="1" t="s">
        <v>1354</v>
      </c>
      <c r="H362" s="24">
        <v>45195</v>
      </c>
      <c r="I362" s="1"/>
      <c r="J362" s="1">
        <v>47.970134000000002</v>
      </c>
      <c r="K362" s="1">
        <v>106.829144</v>
      </c>
      <c r="L362" s="20">
        <v>0</v>
      </c>
      <c r="M362" s="20">
        <v>0.99930555555555556</v>
      </c>
      <c r="N362" s="1">
        <v>0.53446439573937321</v>
      </c>
      <c r="O362" s="1">
        <v>73.868346552706541</v>
      </c>
      <c r="P362" s="1">
        <v>1.0166582334408598</v>
      </c>
      <c r="Q362" s="1">
        <v>49.766877419354834</v>
      </c>
      <c r="R362" s="1">
        <v>0.51228304314339979</v>
      </c>
      <c r="S362" s="1">
        <v>64.316096866096871</v>
      </c>
      <c r="T362" s="1">
        <v>0.97525888479569911</v>
      </c>
      <c r="U362" s="1">
        <v>52.028851612903225</v>
      </c>
      <c r="V362" s="1">
        <v>0.61131579826094973</v>
      </c>
      <c r="W362" s="1">
        <v>68.753722792022799</v>
      </c>
      <c r="X362" s="1">
        <v>1.0050993103222223</v>
      </c>
      <c r="Y362" s="1">
        <v>48.397176344086013</v>
      </c>
      <c r="Z362" s="1">
        <v>0.43929132515727326</v>
      </c>
      <c r="AA362" s="1">
        <v>62.264833064949016</v>
      </c>
      <c r="AB362" s="1">
        <v>0.70092386683909369</v>
      </c>
      <c r="AC362" s="1">
        <v>39.851392857142855</v>
      </c>
    </row>
    <row r="363" spans="1:29" x14ac:dyDescent="0.2">
      <c r="A363" s="1" t="s">
        <v>1355</v>
      </c>
      <c r="B363" s="1" t="str">
        <f t="shared" ca="1" si="5"/>
        <v>Open</v>
      </c>
      <c r="C363" s="1" t="s">
        <v>2770</v>
      </c>
      <c r="D363" s="1" t="s">
        <v>1356</v>
      </c>
      <c r="E363" s="1" t="s">
        <v>1357</v>
      </c>
      <c r="F363" s="1" t="s">
        <v>48</v>
      </c>
      <c r="G363" s="1" t="s">
        <v>1358</v>
      </c>
      <c r="H363" s="24">
        <v>45199</v>
      </c>
      <c r="I363" s="1"/>
      <c r="J363" s="1">
        <v>47.914713999999996</v>
      </c>
      <c r="K363" s="1">
        <v>106.944267</v>
      </c>
      <c r="L363" s="20">
        <v>0</v>
      </c>
      <c r="M363" s="20">
        <v>0.99930555555555556</v>
      </c>
      <c r="N363" s="1">
        <v>1.0186889610958028</v>
      </c>
      <c r="O363" s="1">
        <v>185.04051018043685</v>
      </c>
      <c r="P363" s="1">
        <v>1.1158487195508966</v>
      </c>
      <c r="Q363" s="1">
        <v>60.736206451612901</v>
      </c>
      <c r="R363" s="1">
        <v>0.97898605264150051</v>
      </c>
      <c r="S363" s="1">
        <v>160.7226728395062</v>
      </c>
      <c r="T363" s="1">
        <v>1.1527187682279572</v>
      </c>
      <c r="U363" s="1">
        <v>57.988846236559141</v>
      </c>
      <c r="V363" s="1">
        <v>1.0779172767859828</v>
      </c>
      <c r="W363" s="1">
        <v>194.29310649572653</v>
      </c>
      <c r="X363" s="1">
        <v>1.3957574870643306</v>
      </c>
      <c r="Y363" s="1">
        <v>68.125886960820651</v>
      </c>
      <c r="Z363" s="1">
        <v>0.79657919222490603</v>
      </c>
      <c r="AA363" s="1">
        <v>164.79372946859905</v>
      </c>
      <c r="AB363" s="1">
        <v>0.87471679603878627</v>
      </c>
      <c r="AC363" s="1">
        <v>50.590321044546869</v>
      </c>
    </row>
    <row r="364" spans="1:29" x14ac:dyDescent="0.2">
      <c r="A364" s="1" t="s">
        <v>1359</v>
      </c>
      <c r="B364" s="1" t="str">
        <f t="shared" ca="1" si="5"/>
        <v>Open</v>
      </c>
      <c r="C364" s="1" t="s">
        <v>2770</v>
      </c>
      <c r="D364" s="1" t="s">
        <v>1360</v>
      </c>
      <c r="E364" s="1" t="s">
        <v>1361</v>
      </c>
      <c r="F364" s="1" t="s">
        <v>145</v>
      </c>
      <c r="G364" s="1" t="s">
        <v>1362</v>
      </c>
      <c r="H364" s="24">
        <v>45226</v>
      </c>
      <c r="I364" s="1"/>
      <c r="J364" s="1">
        <v>47.955303000000001</v>
      </c>
      <c r="K364" s="1">
        <v>106.842005</v>
      </c>
      <c r="L364" s="20">
        <v>0</v>
      </c>
      <c r="M364" s="20">
        <v>0.99930555555555556</v>
      </c>
      <c r="N364" s="1">
        <v>0.77279288219103515</v>
      </c>
      <c r="O364" s="1">
        <v>122.04203865147197</v>
      </c>
      <c r="P364" s="1">
        <v>0.57788440631111104</v>
      </c>
      <c r="Q364" s="1">
        <v>32.162628673835137</v>
      </c>
      <c r="R364" s="1">
        <v>0.80433963993589741</v>
      </c>
      <c r="S364" s="1">
        <v>102.48358547008547</v>
      </c>
      <c r="T364" s="1">
        <v>0.65833591981326156</v>
      </c>
      <c r="U364" s="1">
        <v>32.281909318996412</v>
      </c>
      <c r="V364" s="1">
        <v>0.95975936044716048</v>
      </c>
      <c r="W364" s="1">
        <v>116.90787057929724</v>
      </c>
      <c r="X364" s="1">
        <v>0.71009853736594986</v>
      </c>
      <c r="Y364" s="1">
        <v>31.581508602150546</v>
      </c>
      <c r="Z364" s="1">
        <v>0.75391969927106828</v>
      </c>
      <c r="AA364" s="1">
        <v>147.80435909822867</v>
      </c>
      <c r="AB364" s="1">
        <v>0.37868597148003064</v>
      </c>
      <c r="AC364" s="1">
        <v>24.364473502304147</v>
      </c>
    </row>
    <row r="365" spans="1:29" x14ac:dyDescent="0.2">
      <c r="A365" s="1" t="s">
        <v>2238</v>
      </c>
      <c r="B365" s="1" t="str">
        <f t="shared" ca="1" si="5"/>
        <v>Open</v>
      </c>
      <c r="C365" s="1" t="s">
        <v>2771</v>
      </c>
      <c r="D365" s="1" t="s">
        <v>2239</v>
      </c>
      <c r="E365" s="1" t="s">
        <v>2240</v>
      </c>
      <c r="F365" s="1" t="s">
        <v>2185</v>
      </c>
      <c r="G365" s="1" t="s">
        <v>2241</v>
      </c>
      <c r="H365" s="24">
        <v>45206</v>
      </c>
      <c r="I365" s="1"/>
      <c r="J365" s="1">
        <v>49.030327</v>
      </c>
      <c r="K365" s="1">
        <v>104.046091</v>
      </c>
      <c r="L365" s="20">
        <v>0</v>
      </c>
      <c r="M365" s="20">
        <v>0.99930555555555556</v>
      </c>
      <c r="N365" s="1">
        <v>0.73014257911306057</v>
      </c>
      <c r="O365" s="1">
        <v>132.44884600389864</v>
      </c>
      <c r="P365" s="1">
        <v>0.76333270982801205</v>
      </c>
      <c r="Q365" s="1">
        <v>42.405200442192282</v>
      </c>
      <c r="R365" s="1">
        <v>0.67487148349535608</v>
      </c>
      <c r="S365" s="1">
        <v>110.73515583075336</v>
      </c>
      <c r="T365" s="1">
        <v>0.68124714791577057</v>
      </c>
      <c r="U365" s="1">
        <v>40.842368458781358</v>
      </c>
      <c r="V365" s="1">
        <v>0.70321785803115466</v>
      </c>
      <c r="W365" s="1">
        <v>111.73179008714597</v>
      </c>
      <c r="X365" s="1">
        <v>0.55774905845913969</v>
      </c>
      <c r="Y365" s="1">
        <v>32.818625448028676</v>
      </c>
      <c r="Z365" s="1">
        <v>0.51485860914963877</v>
      </c>
      <c r="AA365" s="1">
        <v>96.105858617131048</v>
      </c>
      <c r="AB365" s="1">
        <v>0.48677253411372234</v>
      </c>
      <c r="AC365" s="1">
        <v>29.694865079365076</v>
      </c>
    </row>
    <row r="366" spans="1:29" x14ac:dyDescent="0.2">
      <c r="A366" s="1" t="s">
        <v>1363</v>
      </c>
      <c r="B366" s="1" t="str">
        <f t="shared" ca="1" si="5"/>
        <v>Open</v>
      </c>
      <c r="C366" s="1" t="s">
        <v>2770</v>
      </c>
      <c r="D366" s="1" t="s">
        <v>1364</v>
      </c>
      <c r="E366" s="1" t="s">
        <v>1365</v>
      </c>
      <c r="F366" s="1" t="s">
        <v>11</v>
      </c>
      <c r="G366" s="1" t="s">
        <v>2663</v>
      </c>
      <c r="H366" s="24">
        <v>45199</v>
      </c>
      <c r="I366" s="1"/>
      <c r="J366" s="1">
        <v>47.936463000000003</v>
      </c>
      <c r="K366" s="1">
        <v>106.925085</v>
      </c>
      <c r="L366" s="20">
        <v>0</v>
      </c>
      <c r="M366" s="20">
        <v>0.99930555555555556</v>
      </c>
      <c r="N366" s="1">
        <v>0.48472396496664755</v>
      </c>
      <c r="O366" s="1">
        <v>71.9355667806268</v>
      </c>
      <c r="P366" s="1">
        <v>0.56901249389318997</v>
      </c>
      <c r="Q366" s="1">
        <v>31.108343010752687</v>
      </c>
      <c r="R366" s="1">
        <v>0.41415437686799628</v>
      </c>
      <c r="S366" s="1">
        <v>61.493619658119655</v>
      </c>
      <c r="T366" s="1">
        <v>0.47066518924916584</v>
      </c>
      <c r="U366" s="1">
        <v>25.696998887652949</v>
      </c>
      <c r="V366" s="1">
        <v>0.534762154325641</v>
      </c>
      <c r="W366" s="1">
        <v>79.384819639126306</v>
      </c>
      <c r="X366" s="1">
        <v>0.50975268899534054</v>
      </c>
      <c r="Y366" s="1">
        <v>31.835189247311835</v>
      </c>
      <c r="Z366" s="1">
        <v>0.47025102303327965</v>
      </c>
      <c r="AA366" s="1">
        <v>77.656294149221679</v>
      </c>
      <c r="AB366" s="1">
        <v>0.42432684513863289</v>
      </c>
      <c r="AC366" s="1">
        <v>27.466355990783409</v>
      </c>
    </row>
    <row r="367" spans="1:29" x14ac:dyDescent="0.2">
      <c r="A367" s="1" t="s">
        <v>1366</v>
      </c>
      <c r="B367" s="1" t="str">
        <f t="shared" ca="1" si="5"/>
        <v>Open</v>
      </c>
      <c r="C367" s="1" t="s">
        <v>2770</v>
      </c>
      <c r="D367" s="1" t="s">
        <v>1367</v>
      </c>
      <c r="E367" s="1" t="s">
        <v>1368</v>
      </c>
      <c r="F367" s="1" t="s">
        <v>33</v>
      </c>
      <c r="G367" s="1" t="s">
        <v>1369</v>
      </c>
      <c r="H367" s="24">
        <v>45203</v>
      </c>
      <c r="I367" s="1"/>
      <c r="J367" s="1">
        <v>47.955288000000003</v>
      </c>
      <c r="K367" s="1">
        <v>106.91504</v>
      </c>
      <c r="L367" s="20">
        <v>0</v>
      </c>
      <c r="M367" s="20">
        <v>0.99930555555555556</v>
      </c>
      <c r="N367" s="1">
        <v>0.41793193671016154</v>
      </c>
      <c r="O367" s="1">
        <v>64.33217475783475</v>
      </c>
      <c r="P367" s="1">
        <v>0.59996509061075276</v>
      </c>
      <c r="Q367" s="1">
        <v>35.177074910394261</v>
      </c>
      <c r="R367" s="1">
        <v>0.40853003493257356</v>
      </c>
      <c r="S367" s="1">
        <v>55.106620132953474</v>
      </c>
      <c r="T367" s="1">
        <v>0.54634502799677431</v>
      </c>
      <c r="U367" s="1">
        <v>29.564754480286741</v>
      </c>
      <c r="V367" s="1">
        <v>0.34699677983067417</v>
      </c>
      <c r="W367" s="1">
        <v>48.827311699905039</v>
      </c>
      <c r="X367" s="1">
        <v>0.55278042523297488</v>
      </c>
      <c r="Y367" s="1">
        <v>30.037321863799281</v>
      </c>
      <c r="Z367" s="1">
        <v>0.43756806300483103</v>
      </c>
      <c r="AA367" s="1">
        <v>87.275829307568429</v>
      </c>
      <c r="AB367" s="1">
        <v>0.47183757980875574</v>
      </c>
      <c r="AC367" s="1">
        <v>26.67037826420891</v>
      </c>
    </row>
    <row r="368" spans="1:29" x14ac:dyDescent="0.2">
      <c r="A368" s="1" t="s">
        <v>2242</v>
      </c>
      <c r="B368" s="1" t="str">
        <f t="shared" ca="1" si="5"/>
        <v>Open</v>
      </c>
      <c r="C368" s="1" t="s">
        <v>2771</v>
      </c>
      <c r="D368" s="1" t="s">
        <v>2243</v>
      </c>
      <c r="E368" s="1" t="s">
        <v>2244</v>
      </c>
      <c r="F368" s="1" t="s">
        <v>2245</v>
      </c>
      <c r="G368" s="1" t="s">
        <v>2246</v>
      </c>
      <c r="H368" s="24">
        <v>45221</v>
      </c>
      <c r="I368" s="1"/>
      <c r="J368" s="1">
        <v>48.851607999999999</v>
      </c>
      <c r="K368" s="1">
        <v>106.467754</v>
      </c>
      <c r="L368" s="20">
        <v>0</v>
      </c>
      <c r="M368" s="20">
        <v>0.99930555555555556</v>
      </c>
      <c r="N368" s="1">
        <v>0.63278698156998558</v>
      </c>
      <c r="O368" s="1">
        <v>85.407221500721491</v>
      </c>
      <c r="P368" s="1">
        <v>1.2119556723430109</v>
      </c>
      <c r="Q368" s="1">
        <v>43.063888530465952</v>
      </c>
      <c r="R368" s="1">
        <v>0.91664965491442507</v>
      </c>
      <c r="S368" s="1">
        <v>112.48086296296297</v>
      </c>
      <c r="T368" s="1">
        <v>1.0815969747067111</v>
      </c>
      <c r="U368" s="1">
        <v>47.369424175009264</v>
      </c>
      <c r="V368" s="1">
        <v>1.1029895767557019</v>
      </c>
      <c r="W368" s="1">
        <v>134.72138026315793</v>
      </c>
      <c r="X368" s="1">
        <v>1.0227274864056357</v>
      </c>
      <c r="Y368" s="1">
        <v>50.890923989618102</v>
      </c>
      <c r="Z368" s="1">
        <v>0.72630576041553041</v>
      </c>
      <c r="AA368" s="1">
        <v>99.493584090909096</v>
      </c>
      <c r="AB368" s="1">
        <v>1.070875325172427</v>
      </c>
      <c r="AC368" s="1">
        <v>41.001032642089086</v>
      </c>
    </row>
    <row r="369" spans="1:29" x14ac:dyDescent="0.2">
      <c r="A369" s="1" t="s">
        <v>1370</v>
      </c>
      <c r="B369" s="1" t="str">
        <f t="shared" ca="1" si="5"/>
        <v>Open</v>
      </c>
      <c r="C369" s="1" t="s">
        <v>2770</v>
      </c>
      <c r="D369" s="1" t="s">
        <v>1371</v>
      </c>
      <c r="E369" s="1" t="s">
        <v>1372</v>
      </c>
      <c r="F369" s="1" t="s">
        <v>841</v>
      </c>
      <c r="G369" s="1" t="s">
        <v>1373</v>
      </c>
      <c r="H369" s="24">
        <v>45399</v>
      </c>
      <c r="I369" s="1"/>
      <c r="J369" s="1">
        <v>47.787491000000003</v>
      </c>
      <c r="K369" s="1">
        <v>107.270572</v>
      </c>
      <c r="L369" s="20">
        <v>0</v>
      </c>
      <c r="M369" s="20">
        <v>0.99930555555555556</v>
      </c>
      <c r="N369" s="1">
        <v>0.49168457199074078</v>
      </c>
      <c r="O369" s="1">
        <v>81.764384615384628</v>
      </c>
      <c r="P369" s="1">
        <v>0.44384408005448023</v>
      </c>
      <c r="Q369" s="1">
        <v>27.655526523297493</v>
      </c>
      <c r="R369" s="1">
        <v>0.51375199041405517</v>
      </c>
      <c r="S369" s="1">
        <v>67.654499999999999</v>
      </c>
      <c r="T369" s="1">
        <v>0.51602957151242113</v>
      </c>
      <c r="U369" s="1">
        <v>28.473213570634041</v>
      </c>
      <c r="V369" s="1">
        <v>0.84072935888691358</v>
      </c>
      <c r="W369" s="1">
        <v>116.40652923076924</v>
      </c>
      <c r="X369" s="1">
        <v>0.65242439127240126</v>
      </c>
      <c r="Y369" s="1">
        <v>42.140748745519709</v>
      </c>
      <c r="Z369" s="1">
        <v>0.37274502648631236</v>
      </c>
      <c r="AA369" s="1">
        <v>66.640775630703175</v>
      </c>
      <c r="AB369" s="1">
        <v>0.32655067125604204</v>
      </c>
      <c r="AC369" s="1">
        <v>18.826310957501281</v>
      </c>
    </row>
    <row r="370" spans="1:29" x14ac:dyDescent="0.2">
      <c r="A370" s="1" t="s">
        <v>1374</v>
      </c>
      <c r="B370" s="1" t="str">
        <f t="shared" ca="1" si="5"/>
        <v>Open</v>
      </c>
      <c r="C370" s="1" t="s">
        <v>2770</v>
      </c>
      <c r="D370" s="1" t="s">
        <v>1375</v>
      </c>
      <c r="E370" s="1" t="s">
        <v>1376</v>
      </c>
      <c r="F370" s="1" t="s">
        <v>48</v>
      </c>
      <c r="G370" s="1" t="s">
        <v>1377</v>
      </c>
      <c r="H370" s="24">
        <v>45214</v>
      </c>
      <c r="I370" s="1"/>
      <c r="J370" s="1">
        <v>47.824778999999999</v>
      </c>
      <c r="K370" s="1">
        <v>107.168927</v>
      </c>
      <c r="L370" s="20">
        <v>0</v>
      </c>
      <c r="M370" s="20">
        <v>0.99930555555555556</v>
      </c>
      <c r="N370" s="1">
        <v>1.0467703135861159</v>
      </c>
      <c r="O370" s="1">
        <v>152.78673042735045</v>
      </c>
      <c r="P370" s="1">
        <v>0.76855915031720412</v>
      </c>
      <c r="Q370" s="1">
        <v>40.326959856630815</v>
      </c>
      <c r="R370" s="1">
        <v>1.1201376887397911</v>
      </c>
      <c r="S370" s="1">
        <v>129.58093399810068</v>
      </c>
      <c r="T370" s="1">
        <v>0.67359269308530456</v>
      </c>
      <c r="U370" s="1">
        <v>43.195387455197135</v>
      </c>
      <c r="V370" s="1">
        <v>1.6889145801702561</v>
      </c>
      <c r="W370" s="1">
        <v>203.10889960113965</v>
      </c>
      <c r="X370" s="1">
        <v>1.0937106108978494</v>
      </c>
      <c r="Y370" s="1">
        <v>59.019755197132604</v>
      </c>
      <c r="Z370" s="1">
        <v>0.8990443398458855</v>
      </c>
      <c r="AA370" s="1">
        <v>140.40908010239895</v>
      </c>
      <c r="AB370" s="1">
        <v>0.586634665359831</v>
      </c>
      <c r="AC370" s="1">
        <v>37.610597926267282</v>
      </c>
    </row>
    <row r="371" spans="1:29" x14ac:dyDescent="0.2">
      <c r="A371" s="1" t="s">
        <v>1378</v>
      </c>
      <c r="B371" s="1" t="str">
        <f t="shared" ca="1" si="5"/>
        <v>Open</v>
      </c>
      <c r="C371" s="1" t="s">
        <v>2770</v>
      </c>
      <c r="D371" s="1" t="s">
        <v>1379</v>
      </c>
      <c r="E371" s="1" t="s">
        <v>1380</v>
      </c>
      <c r="F371" s="1" t="s">
        <v>28</v>
      </c>
      <c r="G371" s="1" t="s">
        <v>1381</v>
      </c>
      <c r="H371" s="24">
        <v>45228</v>
      </c>
      <c r="I371" s="1"/>
      <c r="J371" s="1">
        <v>47.921897000000001</v>
      </c>
      <c r="K371" s="1">
        <v>106.89084099999999</v>
      </c>
      <c r="L371" s="20">
        <v>0</v>
      </c>
      <c r="M371" s="20">
        <v>0.99930555555555556</v>
      </c>
      <c r="N371" s="1">
        <v>0.80288138031099709</v>
      </c>
      <c r="O371" s="1">
        <v>140.42546953466282</v>
      </c>
      <c r="P371" s="1">
        <v>0.78795919504838707</v>
      </c>
      <c r="Q371" s="1">
        <v>44.671839068100361</v>
      </c>
      <c r="R371" s="1">
        <v>0.74421613652516605</v>
      </c>
      <c r="S371" s="1">
        <v>114.46544871794873</v>
      </c>
      <c r="T371" s="1">
        <v>0.7089347925892473</v>
      </c>
      <c r="U371" s="1">
        <v>41.409511827956997</v>
      </c>
      <c r="V371" s="1">
        <v>0.92790832167566928</v>
      </c>
      <c r="W371" s="1">
        <v>144.50519371320036</v>
      </c>
      <c r="X371" s="1">
        <v>0.81319430864551967</v>
      </c>
      <c r="Y371" s="1">
        <v>43.595978136200721</v>
      </c>
      <c r="Z371" s="1">
        <v>0.6673689811443908</v>
      </c>
      <c r="AA371" s="1">
        <v>136.72868652710682</v>
      </c>
      <c r="AB371" s="1">
        <v>0.54720558007104458</v>
      </c>
      <c r="AC371" s="1">
        <v>36.201382104454687</v>
      </c>
    </row>
    <row r="372" spans="1:29" x14ac:dyDescent="0.2">
      <c r="A372" s="1" t="s">
        <v>1382</v>
      </c>
      <c r="B372" s="1" t="str">
        <f t="shared" ca="1" si="5"/>
        <v>Open</v>
      </c>
      <c r="C372" s="1" t="s">
        <v>2770</v>
      </c>
      <c r="D372" s="1" t="s">
        <v>1383</v>
      </c>
      <c r="E372" s="1" t="s">
        <v>1384</v>
      </c>
      <c r="F372" s="1" t="s">
        <v>48</v>
      </c>
      <c r="G372" s="1" t="s">
        <v>1385</v>
      </c>
      <c r="H372" s="24">
        <v>45406</v>
      </c>
      <c r="I372" s="1"/>
      <c r="J372" s="1">
        <v>47.949759</v>
      </c>
      <c r="K372" s="1">
        <v>106.931791</v>
      </c>
      <c r="L372" s="20">
        <v>0</v>
      </c>
      <c r="M372" s="20">
        <v>0.99930555555555556</v>
      </c>
      <c r="N372" s="1">
        <v>0.86378702634771143</v>
      </c>
      <c r="O372" s="1">
        <v>155.58220700854699</v>
      </c>
      <c r="P372" s="1">
        <v>0.75392711835770598</v>
      </c>
      <c r="Q372" s="1">
        <v>47.21704301075269</v>
      </c>
      <c r="R372" s="1">
        <v>0.83707496508974355</v>
      </c>
      <c r="S372" s="1">
        <v>110.06221794871794</v>
      </c>
      <c r="T372" s="1">
        <v>0.71158659958996395</v>
      </c>
      <c r="U372" s="1">
        <v>43.389528315412186</v>
      </c>
      <c r="V372" s="1">
        <v>1.0919867011279891</v>
      </c>
      <c r="W372" s="1">
        <v>148.11801192982458</v>
      </c>
      <c r="X372" s="1">
        <v>0.95795914298638019</v>
      </c>
      <c r="Y372" s="1">
        <v>46.851616487455203</v>
      </c>
      <c r="Z372" s="1">
        <v>0.69653529388835211</v>
      </c>
      <c r="AA372" s="1">
        <v>140.89863553408478</v>
      </c>
      <c r="AB372" s="1">
        <v>0.68285640789324142</v>
      </c>
      <c r="AC372" s="1">
        <v>43.369065284178191</v>
      </c>
    </row>
    <row r="373" spans="1:29" x14ac:dyDescent="0.2">
      <c r="A373" s="1" t="s">
        <v>1386</v>
      </c>
      <c r="B373" s="1" t="str">
        <f t="shared" ca="1" si="5"/>
        <v>Open</v>
      </c>
      <c r="C373" s="1" t="s">
        <v>2770</v>
      </c>
      <c r="D373" s="1" t="s">
        <v>1387</v>
      </c>
      <c r="E373" s="1" t="s">
        <v>311</v>
      </c>
      <c r="F373" s="1" t="s">
        <v>33</v>
      </c>
      <c r="G373" s="1" t="s">
        <v>1388</v>
      </c>
      <c r="H373" s="24">
        <v>45218</v>
      </c>
      <c r="I373" s="1"/>
      <c r="J373" s="1">
        <v>47.927511000000003</v>
      </c>
      <c r="K373" s="1">
        <v>106.905827</v>
      </c>
      <c r="L373" s="20">
        <v>0</v>
      </c>
      <c r="M373" s="20">
        <v>0.99930555555555556</v>
      </c>
      <c r="N373" s="1">
        <v>0.51229969078332382</v>
      </c>
      <c r="O373" s="1">
        <v>73.944592079772065</v>
      </c>
      <c r="P373" s="1">
        <v>0.96636553338924713</v>
      </c>
      <c r="Q373" s="1">
        <v>45.496007168458767</v>
      </c>
      <c r="R373" s="1">
        <v>0.48185581365527064</v>
      </c>
      <c r="S373" s="1">
        <v>64.882238841405496</v>
      </c>
      <c r="T373" s="1">
        <v>0.79840460292939086</v>
      </c>
      <c r="U373" s="1">
        <v>40.768374551971327</v>
      </c>
      <c r="V373" s="1">
        <v>0.61495367919684707</v>
      </c>
      <c r="W373" s="1">
        <v>79.942946951566952</v>
      </c>
      <c r="X373" s="1">
        <v>1.0110945634587811</v>
      </c>
      <c r="Y373" s="1">
        <v>44.272550896057361</v>
      </c>
      <c r="Z373" s="1">
        <v>0.42106253802469124</v>
      </c>
      <c r="AA373" s="1">
        <v>67.816632313472894</v>
      </c>
      <c r="AB373" s="1">
        <v>0.72095414409562231</v>
      </c>
      <c r="AC373" s="1">
        <v>36.802145545314893</v>
      </c>
    </row>
    <row r="374" spans="1:29" x14ac:dyDescent="0.2">
      <c r="A374" s="1" t="s">
        <v>1389</v>
      </c>
      <c r="B374" s="1" t="str">
        <f t="shared" ca="1" si="5"/>
        <v>Open</v>
      </c>
      <c r="C374" s="1" t="s">
        <v>2770</v>
      </c>
      <c r="D374" s="1" t="s">
        <v>1390</v>
      </c>
      <c r="E374" s="1" t="s">
        <v>1391</v>
      </c>
      <c r="F374" s="1" t="s">
        <v>64</v>
      </c>
      <c r="G374" s="1" t="s">
        <v>1392</v>
      </c>
      <c r="H374" s="24">
        <v>45251</v>
      </c>
      <c r="I374" s="1"/>
      <c r="J374" s="1">
        <v>47.785581999999998</v>
      </c>
      <c r="K374" s="1">
        <v>106.708291</v>
      </c>
      <c r="L374" s="20">
        <v>0</v>
      </c>
      <c r="M374" s="20">
        <v>0.99930555555555556</v>
      </c>
      <c r="N374" s="1">
        <v>0.71326010521295335</v>
      </c>
      <c r="O374" s="1">
        <v>98.645053409306755</v>
      </c>
      <c r="P374" s="1">
        <v>0.65673119453906825</v>
      </c>
      <c r="Q374" s="1">
        <v>31.79010896057348</v>
      </c>
      <c r="R374" s="1">
        <v>0.76557307058102564</v>
      </c>
      <c r="S374" s="1">
        <v>91.761808717948725</v>
      </c>
      <c r="T374" s="1">
        <v>0.57467796854623654</v>
      </c>
      <c r="U374" s="1">
        <v>33.456218279569889</v>
      </c>
      <c r="V374" s="1">
        <v>0.90601684766037505</v>
      </c>
      <c r="W374" s="1">
        <v>114.74494242640075</v>
      </c>
      <c r="X374" s="1">
        <v>0.85771276002508967</v>
      </c>
      <c r="Y374" s="1">
        <v>37.380296415770609</v>
      </c>
      <c r="Z374" s="1">
        <v>0.62283958688352115</v>
      </c>
      <c r="AA374" s="1">
        <v>94.672163177670427</v>
      </c>
      <c r="AB374" s="1">
        <v>0.33778977670660532</v>
      </c>
      <c r="AC374" s="1">
        <v>25.601686635944699</v>
      </c>
    </row>
    <row r="375" spans="1:29" x14ac:dyDescent="0.2">
      <c r="A375" s="1" t="s">
        <v>1393</v>
      </c>
      <c r="B375" s="1" t="str">
        <f t="shared" ca="1" si="5"/>
        <v>Open</v>
      </c>
      <c r="C375" s="1" t="s">
        <v>2770</v>
      </c>
      <c r="D375" s="1" t="s">
        <v>1394</v>
      </c>
      <c r="E375" s="1" t="s">
        <v>1395</v>
      </c>
      <c r="F375" s="1" t="s">
        <v>64</v>
      </c>
      <c r="G375" s="1" t="s">
        <v>1396</v>
      </c>
      <c r="H375" s="24">
        <v>45221</v>
      </c>
      <c r="I375" s="1"/>
      <c r="J375" s="1">
        <v>47.877068999999999</v>
      </c>
      <c r="K375" s="1">
        <v>106.91111100000001</v>
      </c>
      <c r="L375" s="20">
        <v>0</v>
      </c>
      <c r="M375" s="20">
        <v>0.99930555555555556</v>
      </c>
      <c r="N375" s="1">
        <v>1.6483143873808359</v>
      </c>
      <c r="O375" s="1">
        <v>293.03199126305799</v>
      </c>
      <c r="P375" s="1">
        <v>2.6278883847125445</v>
      </c>
      <c r="Q375" s="1">
        <v>89.968560931899631</v>
      </c>
      <c r="R375" s="1">
        <v>1.767521216379867</v>
      </c>
      <c r="S375" s="1">
        <v>282.75884805318145</v>
      </c>
      <c r="T375" s="1">
        <v>1.8714912692096772</v>
      </c>
      <c r="U375" s="1">
        <v>81.033251612903243</v>
      </c>
      <c r="V375" s="1">
        <v>2.0453769243064577</v>
      </c>
      <c r="W375" s="1">
        <v>314.25392683760685</v>
      </c>
      <c r="X375" s="1">
        <v>1.8533570710129033</v>
      </c>
      <c r="Y375" s="1">
        <v>90.266974193548393</v>
      </c>
      <c r="Z375" s="1">
        <v>1.3179780718503087</v>
      </c>
      <c r="AA375" s="1">
        <v>258.28483179012346</v>
      </c>
      <c r="AB375" s="1">
        <v>1.4638620081850997</v>
      </c>
      <c r="AC375" s="1">
        <v>63.1971628264209</v>
      </c>
    </row>
    <row r="376" spans="1:29" x14ac:dyDescent="0.2">
      <c r="A376" s="1" t="s">
        <v>1397</v>
      </c>
      <c r="B376" s="1" t="str">
        <f t="shared" ca="1" si="5"/>
        <v>Open</v>
      </c>
      <c r="C376" s="1" t="s">
        <v>2770</v>
      </c>
      <c r="D376" s="1" t="s">
        <v>1398</v>
      </c>
      <c r="E376" s="1" t="s">
        <v>1399</v>
      </c>
      <c r="F376" s="1" t="s">
        <v>28</v>
      </c>
      <c r="G376" s="1" t="s">
        <v>1400</v>
      </c>
      <c r="H376" s="24">
        <v>45227</v>
      </c>
      <c r="I376" s="1"/>
      <c r="J376" s="1">
        <v>47.909841999999998</v>
      </c>
      <c r="K376" s="1">
        <v>106.877116</v>
      </c>
      <c r="L376" s="20">
        <v>0</v>
      </c>
      <c r="M376" s="20">
        <v>0.99930555555555556</v>
      </c>
      <c r="N376" s="1">
        <v>0.57370481628254522</v>
      </c>
      <c r="O376" s="1">
        <v>97.749505849952541</v>
      </c>
      <c r="P376" s="1">
        <v>0.74046704312939082</v>
      </c>
      <c r="Q376" s="1">
        <v>38.890892114695355</v>
      </c>
      <c r="R376" s="1">
        <v>0.53733029471557459</v>
      </c>
      <c r="S376" s="1">
        <v>87.50788841405506</v>
      </c>
      <c r="T376" s="1">
        <v>0.70968301958853042</v>
      </c>
      <c r="U376" s="1">
        <v>40.742591397849459</v>
      </c>
      <c r="V376" s="1">
        <v>0.47516969622837602</v>
      </c>
      <c r="W376" s="1">
        <v>78.691260607787285</v>
      </c>
      <c r="X376" s="1">
        <v>0.50319998021935497</v>
      </c>
      <c r="Y376" s="1">
        <v>27.689423297491032</v>
      </c>
      <c r="Z376" s="1">
        <v>0.46850766780300585</v>
      </c>
      <c r="AA376" s="1">
        <v>98.62933548040796</v>
      </c>
      <c r="AB376" s="1">
        <v>0.51234102469124443</v>
      </c>
      <c r="AC376" s="1">
        <v>38.852005376344088</v>
      </c>
    </row>
    <row r="377" spans="1:29" x14ac:dyDescent="0.2">
      <c r="A377" s="1" t="s">
        <v>1401</v>
      </c>
      <c r="B377" s="1" t="str">
        <f t="shared" ca="1" si="5"/>
        <v>Open</v>
      </c>
      <c r="C377" s="1" t="s">
        <v>2770</v>
      </c>
      <c r="D377" s="1" t="s">
        <v>1402</v>
      </c>
      <c r="E377" s="1" t="s">
        <v>1403</v>
      </c>
      <c r="F377" s="1" t="s">
        <v>28</v>
      </c>
      <c r="G377" s="1" t="s">
        <v>1404</v>
      </c>
      <c r="H377" s="24">
        <v>45381</v>
      </c>
      <c r="I377" s="1"/>
      <c r="J377" s="1">
        <v>47.915711000000002</v>
      </c>
      <c r="K377" s="1">
        <v>106.891544</v>
      </c>
      <c r="L377" s="20">
        <v>0</v>
      </c>
      <c r="M377" s="20">
        <v>0.99930555555555556</v>
      </c>
      <c r="N377" s="1">
        <v>1.0785588902562582</v>
      </c>
      <c r="O377" s="1">
        <v>186.33876554605897</v>
      </c>
      <c r="P377" s="1">
        <v>1.5577556741254479</v>
      </c>
      <c r="Q377" s="1">
        <v>79.533486021505382</v>
      </c>
      <c r="R377" s="1">
        <v>1.0293754328679963</v>
      </c>
      <c r="S377" s="1">
        <v>163.27307502374171</v>
      </c>
      <c r="T377" s="1">
        <v>1.2226163760684587</v>
      </c>
      <c r="U377" s="1">
        <v>79.2513559139785</v>
      </c>
      <c r="V377" s="1">
        <v>1.1966619904650904</v>
      </c>
      <c r="W377" s="1">
        <v>188.269596980057</v>
      </c>
      <c r="X377" s="1">
        <v>1.5109474814164876</v>
      </c>
      <c r="Y377" s="1">
        <v>79.534110035842303</v>
      </c>
      <c r="Z377" s="1">
        <v>0.87786284567777795</v>
      </c>
      <c r="AA377" s="1">
        <v>160.71327222222223</v>
      </c>
      <c r="AB377" s="1">
        <v>1.4958749409225807</v>
      </c>
      <c r="AC377" s="1">
        <v>77.995796272401435</v>
      </c>
    </row>
    <row r="378" spans="1:29" x14ac:dyDescent="0.2">
      <c r="A378" s="1" t="s">
        <v>1405</v>
      </c>
      <c r="B378" s="1" t="str">
        <f t="shared" ca="1" si="5"/>
        <v>Open</v>
      </c>
      <c r="C378" s="1" t="s">
        <v>2770</v>
      </c>
      <c r="D378" s="1" t="s">
        <v>1406</v>
      </c>
      <c r="E378" s="1" t="s">
        <v>1407</v>
      </c>
      <c r="F378" s="1" t="s">
        <v>48</v>
      </c>
      <c r="G378" s="1" t="s">
        <v>1408</v>
      </c>
      <c r="H378" s="24">
        <v>45237</v>
      </c>
      <c r="I378" s="1"/>
      <c r="J378" s="1">
        <v>47.904532000000003</v>
      </c>
      <c r="K378" s="1">
        <v>106.93044500000001</v>
      </c>
      <c r="L378" s="20">
        <v>0</v>
      </c>
      <c r="M378" s="20">
        <v>0.99930555555555556</v>
      </c>
      <c r="N378" s="1">
        <v>0.54015825414678054</v>
      </c>
      <c r="O378" s="1">
        <v>111.02995407407411</v>
      </c>
      <c r="P378" s="1">
        <v>0.94133021288709706</v>
      </c>
      <c r="Q378" s="1">
        <v>48.431122222222221</v>
      </c>
      <c r="R378" s="1">
        <v>0.38261876898290598</v>
      </c>
      <c r="S378" s="1">
        <v>57.086247863247856</v>
      </c>
      <c r="T378" s="1">
        <v>0.69865536809247286</v>
      </c>
      <c r="U378" s="1">
        <v>37.846556989247311</v>
      </c>
      <c r="V378" s="1">
        <v>0.64323506441358036</v>
      </c>
      <c r="W378" s="1">
        <v>107.93919435897432</v>
      </c>
      <c r="X378" s="1">
        <v>0.98632497756559145</v>
      </c>
      <c r="Y378" s="1">
        <v>50.068086021505366</v>
      </c>
      <c r="Z378" s="1">
        <v>0.4416757096859904</v>
      </c>
      <c r="AA378" s="1">
        <v>88.47107944176058</v>
      </c>
      <c r="AB378" s="1">
        <v>0.58179503776886832</v>
      </c>
      <c r="AC378" s="1">
        <v>33.217561443932411</v>
      </c>
    </row>
    <row r="379" spans="1:29" x14ac:dyDescent="0.2">
      <c r="A379" s="1" t="s">
        <v>1409</v>
      </c>
      <c r="B379" s="1" t="str">
        <f t="shared" ca="1" si="5"/>
        <v>Open</v>
      </c>
      <c r="C379" s="1" t="s">
        <v>2770</v>
      </c>
      <c r="D379" s="1" t="s">
        <v>1410</v>
      </c>
      <c r="E379" s="1" t="s">
        <v>1411</v>
      </c>
      <c r="F379" s="1" t="s">
        <v>33</v>
      </c>
      <c r="G379" s="1" t="s">
        <v>1412</v>
      </c>
      <c r="H379" s="24">
        <v>45805</v>
      </c>
      <c r="I379" s="1"/>
      <c r="J379" s="1">
        <v>47.927888000000003</v>
      </c>
      <c r="K379" s="1">
        <v>106.892398</v>
      </c>
      <c r="L379" s="20">
        <v>0</v>
      </c>
      <c r="M379" s="20">
        <v>0.99930555555555556</v>
      </c>
      <c r="N379" s="1">
        <v>0.76374436556481495</v>
      </c>
      <c r="O379" s="1">
        <v>111.57206037037037</v>
      </c>
      <c r="P379" s="1">
        <v>0.70559402245555558</v>
      </c>
      <c r="Q379" s="1">
        <v>49.321533333333328</v>
      </c>
      <c r="R379" s="1">
        <v>0.75937395336183844</v>
      </c>
      <c r="S379" s="1">
        <v>100.72399144816363</v>
      </c>
      <c r="T379" s="1">
        <v>0.7668161613936274</v>
      </c>
      <c r="U379" s="1">
        <v>47.15698012151497</v>
      </c>
      <c r="V379" s="1">
        <v>0.97899955025885443</v>
      </c>
      <c r="W379" s="1">
        <v>128.84119069703243</v>
      </c>
      <c r="X379" s="1">
        <v>1.0692113067263274</v>
      </c>
      <c r="Y379" s="1">
        <v>58.726610536398475</v>
      </c>
      <c r="Z379" s="1">
        <v>0.72585598091301895</v>
      </c>
      <c r="AA379" s="1">
        <v>130.22586531986533</v>
      </c>
      <c r="AB379" s="1">
        <v>0.56437126766090617</v>
      </c>
      <c r="AC379" s="1">
        <v>39.042602150537647</v>
      </c>
    </row>
    <row r="380" spans="1:29" x14ac:dyDescent="0.2">
      <c r="A380" s="1" t="s">
        <v>1413</v>
      </c>
      <c r="B380" s="1" t="str">
        <f t="shared" ca="1" si="5"/>
        <v>Open</v>
      </c>
      <c r="C380" s="1" t="s">
        <v>2770</v>
      </c>
      <c r="D380" s="1" t="s">
        <v>1414</v>
      </c>
      <c r="E380" s="1" t="s">
        <v>1415</v>
      </c>
      <c r="F380" s="1" t="s">
        <v>48</v>
      </c>
      <c r="G380" s="1" t="s">
        <v>2664</v>
      </c>
      <c r="H380" s="24">
        <v>45255</v>
      </c>
      <c r="I380" s="1"/>
      <c r="J380" s="1">
        <v>47.904640000000001</v>
      </c>
      <c r="K380" s="1">
        <v>106.932525</v>
      </c>
      <c r="L380" s="20">
        <v>0</v>
      </c>
      <c r="M380" s="20">
        <v>0.99930555555555556</v>
      </c>
      <c r="N380" s="1">
        <v>0.76026569404463429</v>
      </c>
      <c r="O380" s="1">
        <v>140.94233361823359</v>
      </c>
      <c r="P380" s="1">
        <v>1.8697818660297489</v>
      </c>
      <c r="Q380" s="1">
        <v>48.745196774193566</v>
      </c>
      <c r="R380" s="1">
        <v>0.69131871923836652</v>
      </c>
      <c r="S380" s="1">
        <v>108.80938081671415</v>
      </c>
      <c r="T380" s="1">
        <v>1.7460868005802868</v>
      </c>
      <c r="U380" s="1">
        <v>42.706673118279582</v>
      </c>
      <c r="V380" s="1">
        <v>0.92655792458543207</v>
      </c>
      <c r="W380" s="1">
        <v>158.25912679962011</v>
      </c>
      <c r="X380" s="1">
        <v>1.5888332463060932</v>
      </c>
      <c r="Y380" s="1">
        <v>50.34440358422939</v>
      </c>
      <c r="Z380" s="1">
        <v>0.53009224571819646</v>
      </c>
      <c r="AA380" s="1">
        <v>91.809251207729474</v>
      </c>
      <c r="AB380" s="1">
        <v>1.416320449565668</v>
      </c>
      <c r="AC380" s="1">
        <v>31.462835253456223</v>
      </c>
    </row>
    <row r="381" spans="1:29" x14ac:dyDescent="0.2">
      <c r="A381" s="1" t="s">
        <v>1416</v>
      </c>
      <c r="B381" s="1" t="str">
        <f t="shared" ca="1" si="5"/>
        <v>Open</v>
      </c>
      <c r="C381" s="1" t="s">
        <v>2770</v>
      </c>
      <c r="D381" s="1" t="s">
        <v>1417</v>
      </c>
      <c r="E381" s="1" t="s">
        <v>1418</v>
      </c>
      <c r="F381" s="1" t="s">
        <v>33</v>
      </c>
      <c r="G381" s="1" t="s">
        <v>2665</v>
      </c>
      <c r="H381" s="24">
        <v>45230</v>
      </c>
      <c r="I381" s="1"/>
      <c r="J381" s="1">
        <v>47.923639999999999</v>
      </c>
      <c r="K381" s="1">
        <v>106.90166600000001</v>
      </c>
      <c r="L381" s="20">
        <v>0</v>
      </c>
      <c r="M381" s="20">
        <v>0.99930555555555556</v>
      </c>
      <c r="N381" s="1">
        <v>0.53005685502509026</v>
      </c>
      <c r="O381" s="1">
        <v>85.36641815764483</v>
      </c>
      <c r="P381" s="1">
        <v>0.5242039173670251</v>
      </c>
      <c r="Q381" s="1">
        <v>26.187309318996416</v>
      </c>
      <c r="R381" s="1">
        <v>0.42857698800237415</v>
      </c>
      <c r="S381" s="1">
        <v>66.032358974358985</v>
      </c>
      <c r="T381" s="1">
        <v>0.42158125960107534</v>
      </c>
      <c r="U381" s="1">
        <v>20.764523297491039</v>
      </c>
      <c r="V381" s="1">
        <v>0.48441147114032274</v>
      </c>
      <c r="W381" s="1">
        <v>71.898490237416908</v>
      </c>
      <c r="X381" s="1">
        <v>0.44075233580896045</v>
      </c>
      <c r="Y381" s="1">
        <v>21.405625089605739</v>
      </c>
      <c r="Z381" s="1">
        <v>0.42368306943961342</v>
      </c>
      <c r="AA381" s="1">
        <v>74.23533333333333</v>
      </c>
      <c r="AB381" s="1">
        <v>0.566817360110215</v>
      </c>
      <c r="AC381" s="1">
        <v>24.103895161290325</v>
      </c>
    </row>
    <row r="382" spans="1:29" x14ac:dyDescent="0.2">
      <c r="A382" s="1" t="s">
        <v>1419</v>
      </c>
      <c r="B382" s="1" t="str">
        <f t="shared" ca="1" si="5"/>
        <v>Open</v>
      </c>
      <c r="C382" s="1" t="s">
        <v>2770</v>
      </c>
      <c r="D382" s="1" t="s">
        <v>1420</v>
      </c>
      <c r="E382" s="1" t="s">
        <v>1421</v>
      </c>
      <c r="F382" s="1" t="s">
        <v>145</v>
      </c>
      <c r="G382" s="1" t="s">
        <v>1422</v>
      </c>
      <c r="H382" s="24">
        <v>45286</v>
      </c>
      <c r="I382" s="1"/>
      <c r="J382" s="1">
        <v>47.915461000000001</v>
      </c>
      <c r="K382" s="1">
        <v>106.75071800000001</v>
      </c>
      <c r="L382" s="20">
        <v>0</v>
      </c>
      <c r="M382" s="20">
        <v>0.99930555555555556</v>
      </c>
      <c r="N382" s="1">
        <v>1.5501242821183856</v>
      </c>
      <c r="O382" s="1">
        <v>250.86130419753087</v>
      </c>
      <c r="P382" s="1">
        <v>1.4834357854645159</v>
      </c>
      <c r="Q382" s="1">
        <v>90.532068817204333</v>
      </c>
      <c r="R382" s="1">
        <v>1.4353018921486231</v>
      </c>
      <c r="S382" s="1">
        <v>184.31464767331434</v>
      </c>
      <c r="T382" s="1">
        <v>1.311241501778853</v>
      </c>
      <c r="U382" s="1">
        <v>78.929113620071689</v>
      </c>
      <c r="V382" s="1">
        <v>1.9131658105768468</v>
      </c>
      <c r="W382" s="1">
        <v>250.81680003798678</v>
      </c>
      <c r="X382" s="1">
        <v>1.4893432779594988</v>
      </c>
      <c r="Y382" s="1">
        <v>92.837866666666685</v>
      </c>
      <c r="Z382" s="1">
        <v>1.5007228236994095</v>
      </c>
      <c r="AA382" s="1">
        <v>268.26370155662903</v>
      </c>
      <c r="AB382" s="1">
        <v>1.2077735462630568</v>
      </c>
      <c r="AC382" s="1">
        <v>82.702894777265755</v>
      </c>
    </row>
    <row r="383" spans="1:29" x14ac:dyDescent="0.2">
      <c r="A383" s="1" t="s">
        <v>2247</v>
      </c>
      <c r="B383" s="1" t="str">
        <f t="shared" ca="1" si="5"/>
        <v>Open</v>
      </c>
      <c r="C383" s="1" t="s">
        <v>2771</v>
      </c>
      <c r="D383" s="1" t="s">
        <v>2248</v>
      </c>
      <c r="E383" s="1" t="s">
        <v>2249</v>
      </c>
      <c r="F383" s="1" t="s">
        <v>2250</v>
      </c>
      <c r="G383" s="1" t="s">
        <v>2251</v>
      </c>
      <c r="H383" s="24">
        <v>45292</v>
      </c>
      <c r="I383" s="1"/>
      <c r="J383" s="1">
        <v>43.718401999999998</v>
      </c>
      <c r="K383" s="1">
        <v>111.906148</v>
      </c>
      <c r="L383" s="20">
        <v>0</v>
      </c>
      <c r="M383" s="20">
        <v>0.99930555555555556</v>
      </c>
      <c r="N383" s="1">
        <v>0.71046964176737981</v>
      </c>
      <c r="O383" s="1">
        <v>112.42019607843139</v>
      </c>
      <c r="P383" s="1">
        <v>0.70335187251349207</v>
      </c>
      <c r="Q383" s="1">
        <v>51.884495698924731</v>
      </c>
      <c r="R383" s="1">
        <v>0.8240849717864358</v>
      </c>
      <c r="S383" s="1">
        <v>109.63069047619047</v>
      </c>
      <c r="T383" s="1">
        <v>0.74052313249338908</v>
      </c>
      <c r="U383" s="1">
        <v>53.436443448825152</v>
      </c>
      <c r="V383" s="1">
        <v>1.2624378313769231</v>
      </c>
      <c r="W383" s="1">
        <v>167.79385688034191</v>
      </c>
      <c r="X383" s="1">
        <v>0.86585532106236551</v>
      </c>
      <c r="Y383" s="1">
        <v>59.360556272401446</v>
      </c>
      <c r="Z383" s="1">
        <v>0.79228401557504025</v>
      </c>
      <c r="AA383" s="1">
        <v>127.25934766505635</v>
      </c>
      <c r="AB383" s="1">
        <v>0.58421142835566586</v>
      </c>
      <c r="AC383" s="1">
        <v>51.890468569065355</v>
      </c>
    </row>
    <row r="384" spans="1:29" x14ac:dyDescent="0.2">
      <c r="A384" s="1" t="s">
        <v>2252</v>
      </c>
      <c r="B384" s="1" t="str">
        <f t="shared" ca="1" si="5"/>
        <v>Open</v>
      </c>
      <c r="C384" s="1" t="s">
        <v>2771</v>
      </c>
      <c r="D384" s="1" t="s">
        <v>2253</v>
      </c>
      <c r="E384" s="1" t="s">
        <v>2254</v>
      </c>
      <c r="F384" s="1" t="s">
        <v>2172</v>
      </c>
      <c r="G384" s="1" t="s">
        <v>2666</v>
      </c>
      <c r="H384" s="24">
        <v>45282</v>
      </c>
      <c r="I384" s="1"/>
      <c r="J384" s="1">
        <v>48.223793999999998</v>
      </c>
      <c r="K384" s="1">
        <v>106.29514399999999</v>
      </c>
      <c r="L384" s="20">
        <v>0</v>
      </c>
      <c r="M384" s="20">
        <v>0.99930555555555556</v>
      </c>
      <c r="N384" s="1">
        <v>1.18911750724218</v>
      </c>
      <c r="O384" s="1">
        <v>179.48339215686278</v>
      </c>
      <c r="P384" s="1">
        <v>0.52907472440465941</v>
      </c>
      <c r="Q384" s="1">
        <v>37.406901890989985</v>
      </c>
      <c r="R384" s="1">
        <v>1.1683759408373016</v>
      </c>
      <c r="S384" s="1">
        <v>151.58804761904761</v>
      </c>
      <c r="T384" s="1">
        <v>0.64767795767885294</v>
      </c>
      <c r="U384" s="1">
        <v>39.546241218637995</v>
      </c>
      <c r="V384" s="1">
        <v>1.9366942283748625</v>
      </c>
      <c r="W384" s="1">
        <v>235.81060606831093</v>
      </c>
      <c r="X384" s="1">
        <v>1.0489607298096775</v>
      </c>
      <c r="Y384" s="1">
        <v>71.364767741935495</v>
      </c>
      <c r="Z384" s="1">
        <v>1.1013745472300194</v>
      </c>
      <c r="AA384" s="1">
        <v>173.99125341130602</v>
      </c>
      <c r="AB384" s="1">
        <v>0.5096371659072082</v>
      </c>
      <c r="AC384" s="1">
        <v>41.956639984070087</v>
      </c>
    </row>
    <row r="385" spans="1:29" x14ac:dyDescent="0.2">
      <c r="A385" s="1" t="s">
        <v>1423</v>
      </c>
      <c r="B385" s="1" t="str">
        <f t="shared" ca="1" si="5"/>
        <v>Open</v>
      </c>
      <c r="C385" s="1" t="s">
        <v>2770</v>
      </c>
      <c r="D385" s="1" t="s">
        <v>1424</v>
      </c>
      <c r="E385" s="1" t="s">
        <v>1425</v>
      </c>
      <c r="F385" s="1" t="s">
        <v>48</v>
      </c>
      <c r="G385" s="1" t="s">
        <v>1426</v>
      </c>
      <c r="H385" s="24">
        <v>45380</v>
      </c>
      <c r="I385" s="1"/>
      <c r="J385" s="1">
        <v>47.915958000000003</v>
      </c>
      <c r="K385" s="1">
        <v>107.079134</v>
      </c>
      <c r="L385" s="20">
        <v>0</v>
      </c>
      <c r="M385" s="20">
        <v>0.99930555555555556</v>
      </c>
      <c r="N385" s="1">
        <v>0.55828157128030387</v>
      </c>
      <c r="O385" s="1">
        <v>85.083473010446326</v>
      </c>
      <c r="P385" s="1">
        <v>0.94389151346666667</v>
      </c>
      <c r="Q385" s="1">
        <v>31.253896057347671</v>
      </c>
      <c r="R385" s="1">
        <v>0.63925434036182349</v>
      </c>
      <c r="S385" s="1">
        <v>84.296927350427353</v>
      </c>
      <c r="T385" s="1">
        <v>0.77182286017204282</v>
      </c>
      <c r="U385" s="1">
        <v>32.674085663082437</v>
      </c>
      <c r="V385" s="1">
        <v>0.84961799617963918</v>
      </c>
      <c r="W385" s="1">
        <v>109.37765447293448</v>
      </c>
      <c r="X385" s="1">
        <v>0.98440959643046566</v>
      </c>
      <c r="Y385" s="1">
        <v>42.426430824372765</v>
      </c>
      <c r="Z385" s="1">
        <v>0.48452883397376539</v>
      </c>
      <c r="AA385" s="1">
        <v>90.986091049382708</v>
      </c>
      <c r="AB385" s="1">
        <v>0.70273300203110589</v>
      </c>
      <c r="AC385" s="1">
        <v>24.68382258064516</v>
      </c>
    </row>
    <row r="386" spans="1:29" x14ac:dyDescent="0.2">
      <c r="A386" s="1" t="s">
        <v>1427</v>
      </c>
      <c r="B386" s="1" t="str">
        <f t="shared" ca="1" si="5"/>
        <v>Open</v>
      </c>
      <c r="C386" s="1" t="s">
        <v>2770</v>
      </c>
      <c r="D386" s="1" t="s">
        <v>1428</v>
      </c>
      <c r="E386" s="1" t="s">
        <v>1429</v>
      </c>
      <c r="F386" s="1" t="s">
        <v>33</v>
      </c>
      <c r="G386" s="1" t="s">
        <v>1430</v>
      </c>
      <c r="H386" s="24">
        <v>45380</v>
      </c>
      <c r="I386" s="1"/>
      <c r="J386" s="1">
        <v>47.935312000000003</v>
      </c>
      <c r="K386" s="1">
        <v>106.908168</v>
      </c>
      <c r="L386" s="20">
        <v>0</v>
      </c>
      <c r="M386" s="20">
        <v>0.99930555555555556</v>
      </c>
      <c r="N386" s="1">
        <v>0.52829175700415953</v>
      </c>
      <c r="O386" s="1">
        <v>64.989975118708458</v>
      </c>
      <c r="P386" s="1">
        <v>1.0359983105878137</v>
      </c>
      <c r="Q386" s="1">
        <v>43.481368458781368</v>
      </c>
      <c r="R386" s="1">
        <v>0.5353631555683761</v>
      </c>
      <c r="S386" s="1">
        <v>56.996448717948709</v>
      </c>
      <c r="T386" s="1">
        <v>0.91421684682078863</v>
      </c>
      <c r="U386" s="1">
        <v>39.171439426523285</v>
      </c>
      <c r="V386" s="1">
        <v>0.51414086484302002</v>
      </c>
      <c r="W386" s="1">
        <v>56.439992877492877</v>
      </c>
      <c r="X386" s="1">
        <v>0.91950057475663094</v>
      </c>
      <c r="Y386" s="1">
        <v>35.424403225806451</v>
      </c>
      <c r="Z386" s="1">
        <v>0.48998161700697801</v>
      </c>
      <c r="AA386" s="1">
        <v>64.941875469672553</v>
      </c>
      <c r="AB386" s="1">
        <v>0.78531232512211957</v>
      </c>
      <c r="AC386" s="1">
        <v>38.110858678955452</v>
      </c>
    </row>
    <row r="387" spans="1:29" x14ac:dyDescent="0.2">
      <c r="A387" s="1" t="s">
        <v>1431</v>
      </c>
      <c r="B387" s="1" t="str">
        <f t="shared" ca="1" si="5"/>
        <v>Open</v>
      </c>
      <c r="C387" s="1" t="s">
        <v>2770</v>
      </c>
      <c r="D387" s="1" t="s">
        <v>1432</v>
      </c>
      <c r="E387" s="1" t="s">
        <v>1433</v>
      </c>
      <c r="F387" s="1" t="s">
        <v>28</v>
      </c>
      <c r="G387" s="1" t="s">
        <v>1434</v>
      </c>
      <c r="H387" s="24">
        <v>45242</v>
      </c>
      <c r="I387" s="1"/>
      <c r="J387" s="1">
        <v>47.922690000000003</v>
      </c>
      <c r="K387" s="1">
        <v>106.867271</v>
      </c>
      <c r="L387" s="20">
        <v>0</v>
      </c>
      <c r="M387" s="20">
        <v>0.99930555555555556</v>
      </c>
      <c r="N387" s="1">
        <v>0.9588153302286041</v>
      </c>
      <c r="O387" s="1">
        <v>157.1023685660019</v>
      </c>
      <c r="P387" s="1">
        <v>1.1956897657885301</v>
      </c>
      <c r="Q387" s="1">
        <v>53.320475627240143</v>
      </c>
      <c r="R387" s="1">
        <v>0.95725262313770187</v>
      </c>
      <c r="S387" s="1">
        <v>150.72093542260208</v>
      </c>
      <c r="T387" s="1">
        <v>1.0380749428211471</v>
      </c>
      <c r="U387" s="1">
        <v>55.720047311827948</v>
      </c>
      <c r="V387" s="1">
        <v>1.1873517038534851</v>
      </c>
      <c r="W387" s="1">
        <v>182.40243378917384</v>
      </c>
      <c r="X387" s="1">
        <v>1.0571033251096771</v>
      </c>
      <c r="Y387" s="1">
        <v>52.755987096774184</v>
      </c>
      <c r="Z387" s="1">
        <v>0.74681326801932368</v>
      </c>
      <c r="AA387" s="1">
        <v>138.74574181427803</v>
      </c>
      <c r="AB387" s="1">
        <v>0.8465169065399385</v>
      </c>
      <c r="AC387" s="1">
        <v>43.176216973886312</v>
      </c>
    </row>
    <row r="388" spans="1:29" x14ac:dyDescent="0.2">
      <c r="A388" s="1" t="s">
        <v>2255</v>
      </c>
      <c r="B388" s="1" t="str">
        <f t="shared" ref="B388:B451" ca="1" si="6">IF(AND(NOT(ISBLANK(I388)), I388 &lt;= TODAY()), "Closed", IF(H388 &gt; TODAY(), "Will open in future", "Open"))</f>
        <v>Open</v>
      </c>
      <c r="C388" s="1" t="s">
        <v>2771</v>
      </c>
      <c r="D388" s="1" t="s">
        <v>2256</v>
      </c>
      <c r="E388" s="1" t="s">
        <v>2257</v>
      </c>
      <c r="F388" s="1" t="s">
        <v>2258</v>
      </c>
      <c r="G388" s="1" t="s">
        <v>2667</v>
      </c>
      <c r="H388" s="24">
        <v>45292</v>
      </c>
      <c r="I388" s="1"/>
      <c r="J388" s="1">
        <v>47.733499000000002</v>
      </c>
      <c r="K388" s="1">
        <v>109.005858</v>
      </c>
      <c r="L388" s="20">
        <v>0</v>
      </c>
      <c r="M388" s="20">
        <v>0.99930555555555556</v>
      </c>
      <c r="N388" s="1">
        <v>0.87949142446800843</v>
      </c>
      <c r="O388" s="1">
        <v>145.93213427359251</v>
      </c>
      <c r="P388" s="1">
        <v>0.33587099544910393</v>
      </c>
      <c r="Q388" s="1">
        <v>23.322972401433688</v>
      </c>
      <c r="R388" s="1">
        <v>0.87229576710888335</v>
      </c>
      <c r="S388" s="1">
        <v>121.21473962684486</v>
      </c>
      <c r="T388" s="1">
        <v>0.43528569601648748</v>
      </c>
      <c r="U388" s="1">
        <v>27.202442652329747</v>
      </c>
      <c r="V388" s="1">
        <v>1.7649204645931889</v>
      </c>
      <c r="W388" s="1">
        <v>215.18749169246644</v>
      </c>
      <c r="X388" s="1">
        <v>0.89439298233333364</v>
      </c>
      <c r="Y388" s="1">
        <v>52.982041218637995</v>
      </c>
      <c r="Z388" s="1">
        <v>0.99801151270055011</v>
      </c>
      <c r="AA388" s="1">
        <v>174.85957109276458</v>
      </c>
      <c r="AB388" s="1">
        <v>0.35908768627283677</v>
      </c>
      <c r="AC388" s="1">
        <v>27.970452611367126</v>
      </c>
    </row>
    <row r="389" spans="1:29" x14ac:dyDescent="0.2">
      <c r="A389" s="1" t="s">
        <v>1435</v>
      </c>
      <c r="B389" s="1" t="str">
        <f t="shared" ca="1" si="6"/>
        <v>Closed</v>
      </c>
      <c r="C389" s="1" t="s">
        <v>2770</v>
      </c>
      <c r="D389" s="1" t="s">
        <v>1436</v>
      </c>
      <c r="E389" s="1" t="s">
        <v>1437</v>
      </c>
      <c r="F389" s="1" t="s">
        <v>11</v>
      </c>
      <c r="G389" s="1" t="s">
        <v>2668</v>
      </c>
      <c r="H389" s="24">
        <v>45400</v>
      </c>
      <c r="I389" s="24">
        <v>46034</v>
      </c>
      <c r="J389" s="1">
        <v>47.912391999999997</v>
      </c>
      <c r="K389" s="1">
        <v>106.900786</v>
      </c>
      <c r="L389" s="20">
        <v>0.29166666666666669</v>
      </c>
      <c r="M389" s="20">
        <v>0.83333333333333337</v>
      </c>
      <c r="N389" s="1">
        <v>0.22580264703188402</v>
      </c>
      <c r="O389" s="1">
        <v>32.475633043478254</v>
      </c>
      <c r="P389" s="1">
        <v>0.29166198146590044</v>
      </c>
      <c r="Q389" s="1">
        <v>17.920347509578544</v>
      </c>
      <c r="R389" s="1">
        <v>0.41415781873229235</v>
      </c>
      <c r="S389" s="1">
        <v>68.137997290007476</v>
      </c>
      <c r="T389" s="1">
        <v>0.55993626721156453</v>
      </c>
      <c r="U389" s="1">
        <v>30.908042556906022</v>
      </c>
      <c r="V389" s="1">
        <v>0.31772990259031059</v>
      </c>
      <c r="W389" s="1">
        <v>49.687156024844718</v>
      </c>
      <c r="X389" s="1">
        <v>0.33531250179569888</v>
      </c>
      <c r="Y389" s="1">
        <v>18.724898924731178</v>
      </c>
      <c r="Z389" s="1">
        <v>0.33644406117070608</v>
      </c>
      <c r="AA389" s="1">
        <v>51.372687016028173</v>
      </c>
      <c r="AB389" s="1">
        <v>0.34789616186577543</v>
      </c>
      <c r="AC389" s="1">
        <v>22.284467958965138</v>
      </c>
    </row>
    <row r="390" spans="1:29" x14ac:dyDescent="0.2">
      <c r="A390" s="1" t="s">
        <v>1438</v>
      </c>
      <c r="B390" s="1" t="str">
        <f t="shared" ca="1" si="6"/>
        <v>Open</v>
      </c>
      <c r="C390" s="1" t="s">
        <v>2770</v>
      </c>
      <c r="D390" s="1" t="s">
        <v>1439</v>
      </c>
      <c r="E390" s="1" t="s">
        <v>1440</v>
      </c>
      <c r="F390" s="1" t="s">
        <v>145</v>
      </c>
      <c r="G390" s="1" t="s">
        <v>1441</v>
      </c>
      <c r="H390" s="24">
        <v>45254</v>
      </c>
      <c r="I390" s="1"/>
      <c r="J390" s="1">
        <v>47.920630000000003</v>
      </c>
      <c r="K390" s="1">
        <v>106.697248</v>
      </c>
      <c r="L390" s="20">
        <v>0</v>
      </c>
      <c r="M390" s="20">
        <v>0.99930555555555556</v>
      </c>
      <c r="N390" s="1">
        <v>0.42755755467675688</v>
      </c>
      <c r="O390" s="1">
        <v>55.575300451092112</v>
      </c>
      <c r="P390" s="1">
        <v>0.70353738727204285</v>
      </c>
      <c r="Q390" s="1">
        <v>40.619707885304656</v>
      </c>
      <c r="R390" s="1">
        <v>0.46196309191310542</v>
      </c>
      <c r="S390" s="1">
        <v>50.159659544159545</v>
      </c>
      <c r="T390" s="1">
        <v>0.59923562090681004</v>
      </c>
      <c r="U390" s="1">
        <v>35.441548745519704</v>
      </c>
      <c r="V390" s="1">
        <v>0.55667034700698947</v>
      </c>
      <c r="W390" s="1">
        <v>68.297791832858493</v>
      </c>
      <c r="X390" s="1">
        <v>0.69678754642401419</v>
      </c>
      <c r="Y390" s="1">
        <v>38.592896415770618</v>
      </c>
      <c r="Z390" s="1">
        <v>0.30889091688352122</v>
      </c>
      <c r="AA390" s="1">
        <v>36.38181481481481</v>
      </c>
      <c r="AB390" s="1">
        <v>0.38120938755037842</v>
      </c>
      <c r="AC390" s="1">
        <v>25.488791716447626</v>
      </c>
    </row>
    <row r="391" spans="1:29" x14ac:dyDescent="0.2">
      <c r="A391" s="1" t="s">
        <v>1442</v>
      </c>
      <c r="B391" s="1" t="str">
        <f t="shared" ca="1" si="6"/>
        <v>Closed</v>
      </c>
      <c r="C391" s="1" t="s">
        <v>2770</v>
      </c>
      <c r="D391" s="1" t="s">
        <v>1443</v>
      </c>
      <c r="E391" s="1" t="s">
        <v>1444</v>
      </c>
      <c r="F391" s="1" t="s">
        <v>28</v>
      </c>
      <c r="G391" s="1" t="s">
        <v>2669</v>
      </c>
      <c r="H391" s="24">
        <v>45231</v>
      </c>
      <c r="I391" s="24">
        <v>46062</v>
      </c>
      <c r="J391" s="1">
        <v>47.912506</v>
      </c>
      <c r="K391" s="1">
        <v>106.873626</v>
      </c>
      <c r="L391" s="20">
        <v>0</v>
      </c>
      <c r="M391" s="20">
        <v>0.99930555555555556</v>
      </c>
      <c r="N391" s="1">
        <v>0.44882485899008545</v>
      </c>
      <c r="O391" s="1">
        <v>77.704252554605887</v>
      </c>
      <c r="P391" s="1">
        <v>0.50504982731792103</v>
      </c>
      <c r="Q391" s="1">
        <v>26.141846236559136</v>
      </c>
      <c r="R391" s="1">
        <v>0.47752974144760091</v>
      </c>
      <c r="S391" s="1">
        <v>76.405422912039782</v>
      </c>
      <c r="T391" s="1">
        <v>0.52016029372697659</v>
      </c>
      <c r="U391" s="1">
        <v>32.315068004934695</v>
      </c>
      <c r="V391" s="1">
        <v>0.50433856592860404</v>
      </c>
      <c r="W391" s="1">
        <v>78.950095270655268</v>
      </c>
      <c r="X391" s="1">
        <v>0.5671117539822158</v>
      </c>
      <c r="Y391" s="1">
        <v>32.269653530377667</v>
      </c>
      <c r="Z391" s="1">
        <v>0.35109336816809117</v>
      </c>
      <c r="AA391" s="1">
        <v>68.59852977886311</v>
      </c>
      <c r="AB391" s="1">
        <v>0.24835404528888891</v>
      </c>
      <c r="AC391" s="1">
        <v>17.628911111111112</v>
      </c>
    </row>
    <row r="392" spans="1:29" x14ac:dyDescent="0.2">
      <c r="A392" s="1" t="s">
        <v>1445</v>
      </c>
      <c r="B392" s="1" t="str">
        <f t="shared" ca="1" si="6"/>
        <v>Open</v>
      </c>
      <c r="C392" s="1" t="s">
        <v>2770</v>
      </c>
      <c r="D392" s="1" t="s">
        <v>1446</v>
      </c>
      <c r="E392" s="1" t="s">
        <v>1447</v>
      </c>
      <c r="F392" s="1" t="s">
        <v>48</v>
      </c>
      <c r="G392" s="1" t="s">
        <v>1448</v>
      </c>
      <c r="H392" s="24">
        <v>45245</v>
      </c>
      <c r="I392" s="1"/>
      <c r="J392" s="1">
        <v>47.916746000000003</v>
      </c>
      <c r="K392" s="1">
        <v>106.973709</v>
      </c>
      <c r="L392" s="20">
        <v>0.29166666666666669</v>
      </c>
      <c r="M392" s="20">
        <v>0.99930555555555556</v>
      </c>
      <c r="N392" s="1">
        <v>0.82310684735682804</v>
      </c>
      <c r="O392" s="1">
        <v>127.12455016144351</v>
      </c>
      <c r="P392" s="1">
        <v>1.307241913484489</v>
      </c>
      <c r="Q392" s="1">
        <v>82.808803015696455</v>
      </c>
      <c r="R392" s="1">
        <v>0.74188197744586881</v>
      </c>
      <c r="S392" s="1">
        <v>103.64284852801519</v>
      </c>
      <c r="T392" s="1">
        <v>1.1935646952913979</v>
      </c>
      <c r="U392" s="1">
        <v>69.643321505376335</v>
      </c>
      <c r="V392" s="1">
        <v>0.79133631224102563</v>
      </c>
      <c r="W392" s="1">
        <v>118.18317948717949</v>
      </c>
      <c r="X392" s="1">
        <v>1.1565408553863799</v>
      </c>
      <c r="Y392" s="1">
        <v>65.245363440860203</v>
      </c>
      <c r="Z392" s="1">
        <v>0.63809979551744511</v>
      </c>
      <c r="AA392" s="1">
        <v>102.42308158883522</v>
      </c>
      <c r="AB392" s="1">
        <v>0.84418190827764972</v>
      </c>
      <c r="AC392" s="1">
        <v>64.044171274961613</v>
      </c>
    </row>
    <row r="393" spans="1:29" x14ac:dyDescent="0.2">
      <c r="A393" s="1" t="s">
        <v>1449</v>
      </c>
      <c r="B393" s="1" t="str">
        <f t="shared" ca="1" si="6"/>
        <v>Closed</v>
      </c>
      <c r="C393" s="1" t="s">
        <v>2770</v>
      </c>
      <c r="D393" s="1" t="s">
        <v>1450</v>
      </c>
      <c r="E393" s="1" t="s">
        <v>1451</v>
      </c>
      <c r="F393" s="1" t="s">
        <v>145</v>
      </c>
      <c r="G393" s="1" t="s">
        <v>1452</v>
      </c>
      <c r="H393" s="24">
        <v>45259</v>
      </c>
      <c r="I393" s="24">
        <v>46057</v>
      </c>
      <c r="J393" s="1">
        <v>47.910336999999998</v>
      </c>
      <c r="K393" s="1">
        <v>106.78637000000001</v>
      </c>
      <c r="L393" s="20">
        <v>0.29166666666666669</v>
      </c>
      <c r="M393" s="20">
        <v>0.99930555555555556</v>
      </c>
      <c r="N393" s="1">
        <v>0.33422029381424512</v>
      </c>
      <c r="O393" s="1">
        <v>54.575303095916439</v>
      </c>
      <c r="P393" s="1">
        <v>0.44591891735089612</v>
      </c>
      <c r="Q393" s="1">
        <v>21.993555913978497</v>
      </c>
      <c r="R393" s="1">
        <v>0.40127028861094383</v>
      </c>
      <c r="S393" s="1">
        <v>64.957398695515565</v>
      </c>
      <c r="T393" s="1">
        <v>0.47136099370045326</v>
      </c>
      <c r="U393" s="1">
        <v>29.855855460131824</v>
      </c>
      <c r="V393" s="1">
        <v>0.32969327626252615</v>
      </c>
      <c r="W393" s="1">
        <v>45.114488755935419</v>
      </c>
      <c r="X393" s="1">
        <v>0.44475759952867372</v>
      </c>
      <c r="Y393" s="1">
        <v>23.97811290322581</v>
      </c>
      <c r="Z393" s="1">
        <v>0.1616203712508642</v>
      </c>
      <c r="AA393" s="1">
        <v>27.118400000000008</v>
      </c>
      <c r="AB393" s="1">
        <v>0.26577398007526881</v>
      </c>
      <c r="AC393" s="1">
        <v>15.542715053763439</v>
      </c>
    </row>
    <row r="394" spans="1:29" x14ac:dyDescent="0.2">
      <c r="A394" s="1" t="s">
        <v>1453</v>
      </c>
      <c r="B394" s="1" t="str">
        <f t="shared" ca="1" si="6"/>
        <v>Open</v>
      </c>
      <c r="C394" s="1" t="s">
        <v>2770</v>
      </c>
      <c r="D394" s="1" t="s">
        <v>1454</v>
      </c>
      <c r="E394" s="1" t="s">
        <v>1455</v>
      </c>
      <c r="F394" s="1" t="s">
        <v>11</v>
      </c>
      <c r="G394" s="1" t="s">
        <v>1456</v>
      </c>
      <c r="H394" s="24">
        <v>45245</v>
      </c>
      <c r="I394" s="1"/>
      <c r="J394" s="1">
        <v>47.923969999999997</v>
      </c>
      <c r="K394" s="1">
        <v>106.91736</v>
      </c>
      <c r="L394" s="20">
        <v>0.29166666666666669</v>
      </c>
      <c r="M394" s="20">
        <v>0.99930555555555556</v>
      </c>
      <c r="N394" s="1">
        <v>0.3787270589643304</v>
      </c>
      <c r="O394" s="1">
        <v>67.120636581196607</v>
      </c>
      <c r="P394" s="1">
        <v>0.79077581858888868</v>
      </c>
      <c r="Q394" s="1">
        <v>27.520975627240137</v>
      </c>
      <c r="R394" s="1">
        <v>0.36268419861253559</v>
      </c>
      <c r="S394" s="1">
        <v>56.675424976258306</v>
      </c>
      <c r="T394" s="1">
        <v>0.81329097550394247</v>
      </c>
      <c r="U394" s="1">
        <v>23.91138387096774</v>
      </c>
      <c r="V394" s="1">
        <v>0.41392945230697054</v>
      </c>
      <c r="W394" s="1">
        <v>63.133295346628678</v>
      </c>
      <c r="X394" s="1">
        <v>0.80738316420430101</v>
      </c>
      <c r="Y394" s="1">
        <v>24.805168817204304</v>
      </c>
      <c r="Z394" s="1">
        <v>0.29956853948611112</v>
      </c>
      <c r="AA394" s="1">
        <v>47.130959876543209</v>
      </c>
      <c r="AB394" s="1">
        <v>0.59428141639410936</v>
      </c>
      <c r="AC394" s="1">
        <v>21.438310425432444</v>
      </c>
    </row>
    <row r="395" spans="1:29" x14ac:dyDescent="0.2">
      <c r="A395" s="1" t="s">
        <v>1457</v>
      </c>
      <c r="B395" s="1" t="str">
        <f t="shared" ca="1" si="6"/>
        <v>Open</v>
      </c>
      <c r="C395" s="1" t="s">
        <v>2770</v>
      </c>
      <c r="D395" s="1" t="s">
        <v>1458</v>
      </c>
      <c r="E395" s="1" t="s">
        <v>1459</v>
      </c>
      <c r="F395" s="1" t="s">
        <v>145</v>
      </c>
      <c r="G395" s="1" t="s">
        <v>2670</v>
      </c>
      <c r="H395" s="24">
        <v>45262</v>
      </c>
      <c r="I395" s="1"/>
      <c r="J395" s="1">
        <v>47.916640000000001</v>
      </c>
      <c r="K395" s="1">
        <v>106.850105</v>
      </c>
      <c r="L395" s="20">
        <v>0</v>
      </c>
      <c r="M395" s="20">
        <v>0.99930555555555556</v>
      </c>
      <c r="N395" s="1">
        <v>0.82662064100628674</v>
      </c>
      <c r="O395" s="1">
        <v>139.94323490978158</v>
      </c>
      <c r="P395" s="1">
        <v>0.82653999122007171</v>
      </c>
      <c r="Q395" s="1">
        <v>34.25236415770609</v>
      </c>
      <c r="R395" s="1">
        <v>0.82910441076163355</v>
      </c>
      <c r="S395" s="1">
        <v>131.15380436847104</v>
      </c>
      <c r="T395" s="1">
        <v>0.72921927197455194</v>
      </c>
      <c r="U395" s="1">
        <v>36.840817204301082</v>
      </c>
      <c r="V395" s="1">
        <v>1.04718955114585</v>
      </c>
      <c r="W395" s="1">
        <v>150.05801585944923</v>
      </c>
      <c r="X395" s="1">
        <v>0.8424719681551972</v>
      </c>
      <c r="Y395" s="1">
        <v>45.377327598566318</v>
      </c>
      <c r="Z395" s="1">
        <v>0.80440062412989777</v>
      </c>
      <c r="AA395" s="1">
        <v>171.26301395598497</v>
      </c>
      <c r="AB395" s="1">
        <v>0.78071610691705062</v>
      </c>
      <c r="AC395" s="1">
        <v>32.655222734254984</v>
      </c>
    </row>
    <row r="396" spans="1:29" x14ac:dyDescent="0.2">
      <c r="A396" s="1" t="s">
        <v>1460</v>
      </c>
      <c r="B396" s="1" t="str">
        <f t="shared" ca="1" si="6"/>
        <v>Open</v>
      </c>
      <c r="C396" s="1" t="s">
        <v>2770</v>
      </c>
      <c r="D396" s="1" t="s">
        <v>1461</v>
      </c>
      <c r="E396" s="1" t="s">
        <v>1462</v>
      </c>
      <c r="F396" s="1" t="s">
        <v>145</v>
      </c>
      <c r="G396" s="1" t="s">
        <v>2671</v>
      </c>
      <c r="H396" s="24">
        <v>45262</v>
      </c>
      <c r="I396" s="1"/>
      <c r="J396" s="1">
        <v>47.959941000000001</v>
      </c>
      <c r="K396" s="1">
        <v>106.83825</v>
      </c>
      <c r="L396" s="20">
        <v>0</v>
      </c>
      <c r="M396" s="20">
        <v>0.99930555555555556</v>
      </c>
      <c r="N396" s="1">
        <v>0.94937323406237439</v>
      </c>
      <c r="O396" s="1">
        <v>154.1868690218424</v>
      </c>
      <c r="P396" s="1">
        <v>0.70408923144480295</v>
      </c>
      <c r="Q396" s="1">
        <v>43.169172043010768</v>
      </c>
      <c r="R396" s="1">
        <v>0.89671723960113958</v>
      </c>
      <c r="S396" s="1">
        <v>123.45054795821464</v>
      </c>
      <c r="T396" s="1">
        <v>0.69317481614731191</v>
      </c>
      <c r="U396" s="1">
        <v>42.462403942652323</v>
      </c>
      <c r="V396" s="1">
        <v>1.1119871664023553</v>
      </c>
      <c r="W396" s="1">
        <v>151.79721388414055</v>
      </c>
      <c r="X396" s="1">
        <v>0.84847707084659474</v>
      </c>
      <c r="Y396" s="1">
        <v>43.774092114695328</v>
      </c>
      <c r="Z396" s="1">
        <v>0.90681630229039201</v>
      </c>
      <c r="AA396" s="1">
        <v>172.68861889425656</v>
      </c>
      <c r="AB396" s="1">
        <v>0.59388456324539163</v>
      </c>
      <c r="AC396" s="1">
        <v>34.959809907834106</v>
      </c>
    </row>
    <row r="397" spans="1:29" x14ac:dyDescent="0.2">
      <c r="A397" s="1" t="s">
        <v>1463</v>
      </c>
      <c r="B397" s="1" t="str">
        <f t="shared" ca="1" si="6"/>
        <v>Open</v>
      </c>
      <c r="C397" s="1" t="s">
        <v>2770</v>
      </c>
      <c r="D397" s="1" t="s">
        <v>1464</v>
      </c>
      <c r="E397" s="1" t="s">
        <v>1465</v>
      </c>
      <c r="F397" s="1" t="s">
        <v>145</v>
      </c>
      <c r="G397" s="1" t="s">
        <v>1466</v>
      </c>
      <c r="H397" s="24">
        <v>45409</v>
      </c>
      <c r="I397" s="1"/>
      <c r="J397" s="1">
        <v>47.919927999999999</v>
      </c>
      <c r="K397" s="1">
        <v>106.78841199999999</v>
      </c>
      <c r="L397" s="20">
        <v>0</v>
      </c>
      <c r="M397" s="20">
        <v>0.99930555555555556</v>
      </c>
      <c r="N397" s="1">
        <v>0.47160289762345675</v>
      </c>
      <c r="O397" s="1">
        <v>68.945268034188018</v>
      </c>
      <c r="P397" s="1">
        <v>0.53163999627204317</v>
      </c>
      <c r="Q397" s="1">
        <v>33.409805376344089</v>
      </c>
      <c r="R397" s="1">
        <v>0.54637112521604947</v>
      </c>
      <c r="S397" s="1">
        <v>64.902476258309591</v>
      </c>
      <c r="T397" s="1">
        <v>0.57625512680286739</v>
      </c>
      <c r="U397" s="1">
        <v>31.820481362007161</v>
      </c>
      <c r="V397" s="1">
        <v>0.53827441189715097</v>
      </c>
      <c r="W397" s="1">
        <v>63.865705679012358</v>
      </c>
      <c r="X397" s="1">
        <v>0.63630804297706089</v>
      </c>
      <c r="Y397" s="1">
        <v>34.706637634408594</v>
      </c>
      <c r="Z397" s="1">
        <v>0.44965341969296829</v>
      </c>
      <c r="AA397" s="1">
        <v>68.592983360171772</v>
      </c>
      <c r="AB397" s="1">
        <v>0.51092166152380958</v>
      </c>
      <c r="AC397" s="1">
        <v>29.981232334869421</v>
      </c>
    </row>
    <row r="398" spans="1:29" x14ac:dyDescent="0.2">
      <c r="A398" s="1" t="s">
        <v>1467</v>
      </c>
      <c r="B398" s="1" t="str">
        <f t="shared" ca="1" si="6"/>
        <v>Closed</v>
      </c>
      <c r="C398" s="1" t="s">
        <v>2770</v>
      </c>
      <c r="D398" s="1" t="s">
        <v>1468</v>
      </c>
      <c r="E398" s="1" t="s">
        <v>1469</v>
      </c>
      <c r="F398" s="1" t="s">
        <v>28</v>
      </c>
      <c r="G398" s="1" t="s">
        <v>1470</v>
      </c>
      <c r="H398" s="24">
        <v>45403</v>
      </c>
      <c r="I398" s="24">
        <v>46064</v>
      </c>
      <c r="J398" s="1">
        <v>47.909233999999998</v>
      </c>
      <c r="K398" s="1">
        <v>106.807968</v>
      </c>
      <c r="L398" s="20">
        <v>0</v>
      </c>
      <c r="M398" s="20">
        <v>0.99930555555555556</v>
      </c>
      <c r="N398" s="1">
        <v>0.37029318939132011</v>
      </c>
      <c r="O398" s="1">
        <v>65.939305735992392</v>
      </c>
      <c r="P398" s="1">
        <v>0.36055718878422932</v>
      </c>
      <c r="Q398" s="1">
        <v>19.649477777777779</v>
      </c>
      <c r="R398" s="1">
        <v>0.40985027677238728</v>
      </c>
      <c r="S398" s="1">
        <v>70.937098600548794</v>
      </c>
      <c r="T398" s="1">
        <v>0.43604307646281892</v>
      </c>
      <c r="U398" s="1">
        <v>27.954223202067311</v>
      </c>
      <c r="V398" s="1">
        <v>0.55630497189230754</v>
      </c>
      <c r="W398" s="1">
        <v>88.259249230769228</v>
      </c>
      <c r="X398" s="1">
        <v>0.33602493733691774</v>
      </c>
      <c r="Y398" s="1">
        <v>21.759329749103941</v>
      </c>
      <c r="Z398" s="1">
        <v>0.28424667775683421</v>
      </c>
      <c r="AA398" s="1">
        <v>39.80072619047619</v>
      </c>
      <c r="AB398" s="1">
        <v>0.2567883551200717</v>
      </c>
      <c r="AC398" s="1">
        <v>14.363293010752686</v>
      </c>
    </row>
    <row r="399" spans="1:29" x14ac:dyDescent="0.2">
      <c r="A399" s="1" t="s">
        <v>1471</v>
      </c>
      <c r="B399" s="1" t="str">
        <f t="shared" ca="1" si="6"/>
        <v>Open</v>
      </c>
      <c r="C399" s="1" t="s">
        <v>2770</v>
      </c>
      <c r="D399" s="1" t="s">
        <v>1472</v>
      </c>
      <c r="E399" s="1" t="s">
        <v>1473</v>
      </c>
      <c r="F399" s="1" t="s">
        <v>48</v>
      </c>
      <c r="G399" s="1" t="s">
        <v>2672</v>
      </c>
      <c r="H399" s="24">
        <v>45415</v>
      </c>
      <c r="I399" s="1"/>
      <c r="J399" s="1">
        <v>47.923427599999997</v>
      </c>
      <c r="K399" s="1">
        <v>106.957667</v>
      </c>
      <c r="L399" s="20">
        <v>0</v>
      </c>
      <c r="M399" s="20">
        <v>0.99930555555555556</v>
      </c>
      <c r="N399" s="1">
        <v>0.52490330984966749</v>
      </c>
      <c r="O399" s="1">
        <v>93.139424596391265</v>
      </c>
      <c r="P399" s="1">
        <v>0.66542772188207877</v>
      </c>
      <c r="Q399" s="1">
        <v>26.662128673835131</v>
      </c>
      <c r="R399" s="1">
        <v>0.61071459314672361</v>
      </c>
      <c r="S399" s="1">
        <v>88.945642450142444</v>
      </c>
      <c r="T399" s="1">
        <v>0.5352893988648747</v>
      </c>
      <c r="U399" s="1">
        <v>27.446418279569897</v>
      </c>
      <c r="V399" s="1">
        <v>0.61505444194296288</v>
      </c>
      <c r="W399" s="1">
        <v>84.360293827160504</v>
      </c>
      <c r="X399" s="1">
        <v>0.63979795325089628</v>
      </c>
      <c r="Y399" s="1">
        <v>26.70177025089605</v>
      </c>
      <c r="Z399" s="1">
        <v>0.51054342491411686</v>
      </c>
      <c r="AA399" s="1">
        <v>98.549105206655938</v>
      </c>
      <c r="AB399" s="1">
        <v>0.58014225147550791</v>
      </c>
      <c r="AC399" s="1">
        <v>23.256506172839504</v>
      </c>
    </row>
    <row r="400" spans="1:29" x14ac:dyDescent="0.2">
      <c r="A400" s="1" t="s">
        <v>1474</v>
      </c>
      <c r="B400" s="1" t="str">
        <f t="shared" ca="1" si="6"/>
        <v>Open</v>
      </c>
      <c r="C400" s="1" t="s">
        <v>2770</v>
      </c>
      <c r="D400" s="1" t="s">
        <v>1475</v>
      </c>
      <c r="E400" s="1" t="s">
        <v>1476</v>
      </c>
      <c r="F400" s="1" t="s">
        <v>28</v>
      </c>
      <c r="G400" s="1" t="s">
        <v>1477</v>
      </c>
      <c r="H400" s="24">
        <v>45408</v>
      </c>
      <c r="I400" s="1"/>
      <c r="J400" s="1">
        <v>47.927008000000001</v>
      </c>
      <c r="K400" s="1">
        <v>106.876577</v>
      </c>
      <c r="L400" s="20">
        <v>0</v>
      </c>
      <c r="M400" s="20">
        <v>0.99930555555555556</v>
      </c>
      <c r="N400" s="1">
        <v>0.63904843276776824</v>
      </c>
      <c r="O400" s="1">
        <v>101.98472001899336</v>
      </c>
      <c r="P400" s="1">
        <v>0.581452947162724</v>
      </c>
      <c r="Q400" s="1">
        <v>32.796731541218634</v>
      </c>
      <c r="R400" s="1">
        <v>0.46255515050617274</v>
      </c>
      <c r="S400" s="1">
        <v>58.867439696106366</v>
      </c>
      <c r="T400" s="1">
        <v>0.49345136950215057</v>
      </c>
      <c r="U400" s="1">
        <v>31.669036200716846</v>
      </c>
      <c r="V400" s="1">
        <v>0.58565108927139586</v>
      </c>
      <c r="W400" s="1">
        <v>80.039048490028492</v>
      </c>
      <c r="X400" s="1">
        <v>0.54586049901827949</v>
      </c>
      <c r="Y400" s="1">
        <v>31.291133691756272</v>
      </c>
      <c r="Z400" s="1">
        <v>0.61590774386097702</v>
      </c>
      <c r="AA400" s="1">
        <v>125.8654857756307</v>
      </c>
      <c r="AB400" s="1">
        <v>0.45346645240130584</v>
      </c>
      <c r="AC400" s="1">
        <v>28.568530721966209</v>
      </c>
    </row>
    <row r="401" spans="1:29" x14ac:dyDescent="0.2">
      <c r="A401" s="1" t="s">
        <v>1478</v>
      </c>
      <c r="B401" s="1" t="str">
        <f t="shared" ca="1" si="6"/>
        <v>Open</v>
      </c>
      <c r="C401" s="1" t="s">
        <v>2770</v>
      </c>
      <c r="D401" s="1" t="s">
        <v>1479</v>
      </c>
      <c r="E401" s="1" t="s">
        <v>1480</v>
      </c>
      <c r="F401" s="1" t="s">
        <v>145</v>
      </c>
      <c r="G401" s="1" t="s">
        <v>1481</v>
      </c>
      <c r="H401" s="24">
        <v>45414</v>
      </c>
      <c r="I401" s="1"/>
      <c r="J401" s="1">
        <v>47.899457900000002</v>
      </c>
      <c r="K401" s="1">
        <v>106.67120199999999</v>
      </c>
      <c r="L401" s="20">
        <v>0</v>
      </c>
      <c r="M401" s="20">
        <v>0.99930555555555556</v>
      </c>
      <c r="N401" s="1">
        <v>0.67432735248252607</v>
      </c>
      <c r="O401" s="1">
        <v>97.970382943969625</v>
      </c>
      <c r="P401" s="1">
        <v>0.62292730463118262</v>
      </c>
      <c r="Q401" s="1">
        <v>33.895555197132609</v>
      </c>
      <c r="R401" s="1">
        <v>0.73330376959734078</v>
      </c>
      <c r="S401" s="1">
        <v>96.749091168091169</v>
      </c>
      <c r="T401" s="1">
        <v>0.64901397004695349</v>
      </c>
      <c r="U401" s="1">
        <v>36.253922222222215</v>
      </c>
      <c r="V401" s="1">
        <v>1.2886941107220322</v>
      </c>
      <c r="W401" s="1">
        <v>147.58622227920227</v>
      </c>
      <c r="X401" s="1">
        <v>1.0328827081523297</v>
      </c>
      <c r="Y401" s="1">
        <v>63.509020430107533</v>
      </c>
      <c r="Z401" s="1">
        <v>0.53065927823886216</v>
      </c>
      <c r="AA401" s="1">
        <v>88.089730542136337</v>
      </c>
      <c r="AB401" s="1">
        <v>0.46622801380222728</v>
      </c>
      <c r="AC401" s="1">
        <v>27.920208141321044</v>
      </c>
    </row>
    <row r="402" spans="1:29" x14ac:dyDescent="0.2">
      <c r="A402" s="1" t="s">
        <v>2259</v>
      </c>
      <c r="B402" s="1" t="str">
        <f t="shared" ca="1" si="6"/>
        <v>Open</v>
      </c>
      <c r="C402" s="1" t="s">
        <v>2771</v>
      </c>
      <c r="D402" s="1" t="s">
        <v>2260</v>
      </c>
      <c r="E402" s="1" t="s">
        <v>2261</v>
      </c>
      <c r="F402" s="1" t="s">
        <v>2262</v>
      </c>
      <c r="G402" s="1" t="s">
        <v>2263</v>
      </c>
      <c r="H402" s="24">
        <v>45497</v>
      </c>
      <c r="I402" s="1"/>
      <c r="J402" s="1">
        <v>50.236713000000002</v>
      </c>
      <c r="K402" s="1">
        <v>106.20091600000001</v>
      </c>
      <c r="L402" s="20">
        <v>0</v>
      </c>
      <c r="M402" s="20">
        <v>0.99930555555555556</v>
      </c>
      <c r="N402" s="1">
        <v>0.7618187134895712</v>
      </c>
      <c r="O402" s="1">
        <v>132.05422524366472</v>
      </c>
      <c r="P402" s="1">
        <v>0.93107346751218645</v>
      </c>
      <c r="Q402" s="1">
        <v>33.72680215053763</v>
      </c>
      <c r="R402" s="1">
        <v>0.8663789998736654</v>
      </c>
      <c r="S402" s="1">
        <v>117.76562525252525</v>
      </c>
      <c r="T402" s="1">
        <v>0.84692503830788546</v>
      </c>
      <c r="U402" s="1">
        <v>37.577303584229391</v>
      </c>
      <c r="V402" s="1">
        <v>1.1162612512184342</v>
      </c>
      <c r="W402" s="1">
        <v>148.14475589225586</v>
      </c>
      <c r="X402" s="1">
        <v>1.008698753705018</v>
      </c>
      <c r="Y402" s="1">
        <v>48.168640143369181</v>
      </c>
      <c r="Z402" s="1">
        <v>0.64038749607838918</v>
      </c>
      <c r="AA402" s="1">
        <v>110.58857288676238</v>
      </c>
      <c r="AB402" s="1">
        <v>0.67490596531451619</v>
      </c>
      <c r="AC402" s="1">
        <v>27.452826036866359</v>
      </c>
    </row>
    <row r="403" spans="1:29" x14ac:dyDescent="0.2">
      <c r="A403" s="1" t="s">
        <v>1482</v>
      </c>
      <c r="B403" s="1" t="str">
        <f t="shared" ca="1" si="6"/>
        <v>Open</v>
      </c>
      <c r="C403" s="1" t="s">
        <v>2770</v>
      </c>
      <c r="D403" s="1" t="s">
        <v>1483</v>
      </c>
      <c r="E403" s="1" t="s">
        <v>1484</v>
      </c>
      <c r="F403" s="1" t="s">
        <v>145</v>
      </c>
      <c r="G403" s="1" t="s">
        <v>1485</v>
      </c>
      <c r="H403" s="24">
        <v>45413</v>
      </c>
      <c r="I403" s="1"/>
      <c r="J403" s="1">
        <v>47.909782999999997</v>
      </c>
      <c r="K403" s="1">
        <v>106.80710000000001</v>
      </c>
      <c r="L403" s="20">
        <v>0</v>
      </c>
      <c r="M403" s="20">
        <v>0.99930555555555556</v>
      </c>
      <c r="N403" s="1">
        <v>0.73804594560581194</v>
      </c>
      <c r="O403" s="1">
        <v>111.07048433048432</v>
      </c>
      <c r="P403" s="1">
        <v>0.57428366472652337</v>
      </c>
      <c r="Q403" s="1">
        <v>41.169613978494624</v>
      </c>
      <c r="R403" s="1">
        <v>0.74368499488936368</v>
      </c>
      <c r="S403" s="1">
        <v>92.729110636277312</v>
      </c>
      <c r="T403" s="1">
        <v>0.57672173746093203</v>
      </c>
      <c r="U403" s="1">
        <v>39.512367383512554</v>
      </c>
      <c r="V403" s="1">
        <v>1.0315934835582337</v>
      </c>
      <c r="W403" s="1">
        <v>134.12019785375116</v>
      </c>
      <c r="X403" s="1">
        <v>0.74274455998243738</v>
      </c>
      <c r="Y403" s="1">
        <v>49.237708243727603</v>
      </c>
      <c r="Z403" s="1">
        <v>0.51204200341438533</v>
      </c>
      <c r="AA403" s="1">
        <v>86.048776704240467</v>
      </c>
      <c r="AB403" s="1">
        <v>0.40629535537711209</v>
      </c>
      <c r="AC403" s="1">
        <v>35.065071428571436</v>
      </c>
    </row>
    <row r="404" spans="1:29" x14ac:dyDescent="0.2">
      <c r="A404" s="1" t="s">
        <v>1486</v>
      </c>
      <c r="B404" s="1" t="str">
        <f t="shared" ca="1" si="6"/>
        <v>Open</v>
      </c>
      <c r="C404" s="1" t="s">
        <v>2770</v>
      </c>
      <c r="D404" s="1" t="s">
        <v>1487</v>
      </c>
      <c r="E404" s="1" t="s">
        <v>1488</v>
      </c>
      <c r="F404" s="1" t="s">
        <v>48</v>
      </c>
      <c r="G404" s="1" t="s">
        <v>1489</v>
      </c>
      <c r="H404" s="24">
        <v>45413</v>
      </c>
      <c r="I404" s="1"/>
      <c r="J404" s="1">
        <v>47.905170499999997</v>
      </c>
      <c r="K404" s="1">
        <v>107.03461</v>
      </c>
      <c r="L404" s="20">
        <v>0</v>
      </c>
      <c r="M404" s="20">
        <v>0.99930555555555556</v>
      </c>
      <c r="N404" s="1">
        <v>0.3832416380901425</v>
      </c>
      <c r="O404" s="1">
        <v>59.460546666666652</v>
      </c>
      <c r="P404" s="1">
        <v>0.51036554066810036</v>
      </c>
      <c r="Q404" s="1">
        <v>22.262601075268815</v>
      </c>
      <c r="R404" s="1">
        <v>0.41036468331813863</v>
      </c>
      <c r="S404" s="1">
        <v>52.837950617283944</v>
      </c>
      <c r="T404" s="1">
        <v>0.32802134581326164</v>
      </c>
      <c r="U404" s="1">
        <v>20.98699569892473</v>
      </c>
      <c r="V404" s="1">
        <v>0.52730344723832856</v>
      </c>
      <c r="W404" s="1">
        <v>68.719657587844253</v>
      </c>
      <c r="X404" s="1">
        <v>0.48593630122759873</v>
      </c>
      <c r="Y404" s="1">
        <v>27.00304623655914</v>
      </c>
      <c r="Z404" s="1">
        <v>0.32122297079227052</v>
      </c>
      <c r="AA404" s="1">
        <v>58.524327428878145</v>
      </c>
      <c r="AB404" s="1">
        <v>0.33820311267434716</v>
      </c>
      <c r="AC404" s="1">
        <v>19.701776113671272</v>
      </c>
    </row>
    <row r="405" spans="1:29" x14ac:dyDescent="0.2">
      <c r="A405" s="1" t="s">
        <v>1490</v>
      </c>
      <c r="B405" s="1" t="str">
        <f t="shared" ca="1" si="6"/>
        <v>Open</v>
      </c>
      <c r="C405" s="1" t="s">
        <v>2770</v>
      </c>
      <c r="D405" s="1" t="s">
        <v>1491</v>
      </c>
      <c r="E405" s="1" t="s">
        <v>1492</v>
      </c>
      <c r="F405" s="1" t="s">
        <v>145</v>
      </c>
      <c r="G405" s="1" t="s">
        <v>2673</v>
      </c>
      <c r="H405" s="24">
        <v>45430</v>
      </c>
      <c r="I405" s="1"/>
      <c r="J405" s="1">
        <v>47.909981000000002</v>
      </c>
      <c r="K405" s="1">
        <v>106.801788</v>
      </c>
      <c r="L405" s="20">
        <v>0</v>
      </c>
      <c r="M405" s="20">
        <v>0.99930555555555556</v>
      </c>
      <c r="N405" s="1">
        <v>0.43250891395143398</v>
      </c>
      <c r="O405" s="1">
        <v>60.282150389363721</v>
      </c>
      <c r="P405" s="1">
        <v>0.66057359303369179</v>
      </c>
      <c r="Q405" s="1">
        <v>31.262827240143366</v>
      </c>
      <c r="R405" s="1">
        <v>0.4217267900587654</v>
      </c>
      <c r="S405" s="1">
        <v>57.296629762583088</v>
      </c>
      <c r="T405" s="1">
        <v>0.48988766074623652</v>
      </c>
      <c r="U405" s="1">
        <v>27.307405376344089</v>
      </c>
      <c r="V405" s="1">
        <v>0.64973728008757847</v>
      </c>
      <c r="W405" s="1">
        <v>76.674297188983857</v>
      </c>
      <c r="X405" s="1">
        <v>0.6630765180455197</v>
      </c>
      <c r="Y405" s="1">
        <v>37.949050179211469</v>
      </c>
      <c r="Z405" s="1">
        <v>0.36872536728054417</v>
      </c>
      <c r="AA405" s="1">
        <v>59.861833560427762</v>
      </c>
      <c r="AB405" s="1">
        <v>0.48361284343970823</v>
      </c>
      <c r="AC405" s="1">
        <v>27.223124039938554</v>
      </c>
    </row>
    <row r="406" spans="1:29" x14ac:dyDescent="0.2">
      <c r="A406" s="1" t="s">
        <v>1493</v>
      </c>
      <c r="B406" s="1" t="str">
        <f t="shared" ca="1" si="6"/>
        <v>Closed</v>
      </c>
      <c r="C406" s="1" t="s">
        <v>2770</v>
      </c>
      <c r="D406" s="1" t="s">
        <v>1494</v>
      </c>
      <c r="E406" s="1" t="s">
        <v>1495</v>
      </c>
      <c r="F406" s="1" t="s">
        <v>28</v>
      </c>
      <c r="G406" s="1" t="s">
        <v>1496</v>
      </c>
      <c r="H406" s="24">
        <v>45443</v>
      </c>
      <c r="I406" s="24">
        <v>45839</v>
      </c>
      <c r="J406" s="1">
        <v>47.922384999999998</v>
      </c>
      <c r="K406" s="1">
        <v>106.872221</v>
      </c>
      <c r="L406" s="20">
        <v>0</v>
      </c>
      <c r="M406" s="20">
        <v>0.99930555555555556</v>
      </c>
      <c r="N406" s="1">
        <v>0.73639092957822683</v>
      </c>
      <c r="O406" s="1">
        <v>120.83034189340572</v>
      </c>
      <c r="P406" s="1">
        <v>1.0305683280225519</v>
      </c>
      <c r="Q406" s="1">
        <v>50.741335744455974</v>
      </c>
      <c r="R406" s="1">
        <v>0.53978883117647081</v>
      </c>
      <c r="S406" s="1">
        <v>76.487573434356946</v>
      </c>
      <c r="T406" s="1">
        <v>0.71141677514489776</v>
      </c>
      <c r="U406" s="1">
        <v>34.012212090956204</v>
      </c>
      <c r="V406" s="1">
        <v>0.47618936952789953</v>
      </c>
      <c r="W406" s="1">
        <v>68.157939247646013</v>
      </c>
      <c r="X406" s="1">
        <v>0.80875240998948161</v>
      </c>
      <c r="Y406" s="1">
        <v>28.667560847814816</v>
      </c>
      <c r="Z406" s="1">
        <v>0.61668712407906823</v>
      </c>
      <c r="AA406" s="1">
        <v>111.42882484304808</v>
      </c>
      <c r="AB406" s="1">
        <v>0.75426453629546997</v>
      </c>
      <c r="AC406" s="1">
        <v>41.5584292989384</v>
      </c>
    </row>
    <row r="407" spans="1:29" x14ac:dyDescent="0.2">
      <c r="A407" s="1" t="s">
        <v>2264</v>
      </c>
      <c r="B407" s="1" t="str">
        <f t="shared" ca="1" si="6"/>
        <v>Open</v>
      </c>
      <c r="C407" s="1" t="s">
        <v>2771</v>
      </c>
      <c r="D407" s="1" t="s">
        <v>2265</v>
      </c>
      <c r="E407" s="1" t="s">
        <v>2266</v>
      </c>
      <c r="F407" s="1" t="s">
        <v>2267</v>
      </c>
      <c r="G407" s="1" t="s">
        <v>2268</v>
      </c>
      <c r="H407" s="24">
        <v>45436</v>
      </c>
      <c r="I407" s="1"/>
      <c r="J407" s="1">
        <v>47.368232999999996</v>
      </c>
      <c r="K407" s="1">
        <v>102.474694</v>
      </c>
      <c r="L407" s="20">
        <v>0</v>
      </c>
      <c r="M407" s="20">
        <v>0.99930555555555556</v>
      </c>
      <c r="N407" s="1">
        <v>0.66030957553030289</v>
      </c>
      <c r="O407" s="1">
        <v>102.48599429590017</v>
      </c>
      <c r="P407" s="1">
        <v>0.83272008668172048</v>
      </c>
      <c r="Q407" s="1">
        <v>32.470850537634412</v>
      </c>
      <c r="R407" s="1">
        <v>0.60331771147719293</v>
      </c>
      <c r="S407" s="1">
        <v>78.540396637426895</v>
      </c>
      <c r="T407" s="1">
        <v>0.81233378933727618</v>
      </c>
      <c r="U407" s="1">
        <v>26.722218996415773</v>
      </c>
      <c r="V407" s="1">
        <v>1.5642894712417152</v>
      </c>
      <c r="W407" s="1">
        <v>194.36719078947363</v>
      </c>
      <c r="X407" s="1">
        <v>1.3074559604745517</v>
      </c>
      <c r="Y407" s="1">
        <v>72.767002867383511</v>
      </c>
      <c r="Z407" s="1">
        <v>0.6722581369845203</v>
      </c>
      <c r="AA407" s="1">
        <v>115.02790608875129</v>
      </c>
      <c r="AB407" s="1">
        <v>0.68344637281781873</v>
      </c>
      <c r="AC407" s="1">
        <v>25.197936277521773</v>
      </c>
    </row>
    <row r="408" spans="1:29" x14ac:dyDescent="0.2">
      <c r="A408" s="1" t="s">
        <v>1497</v>
      </c>
      <c r="B408" s="1" t="str">
        <f t="shared" ca="1" si="6"/>
        <v>Open</v>
      </c>
      <c r="C408" s="1" t="s">
        <v>2770</v>
      </c>
      <c r="D408" s="1" t="s">
        <v>1498</v>
      </c>
      <c r="E408" s="1" t="s">
        <v>1499</v>
      </c>
      <c r="F408" s="1" t="s">
        <v>28</v>
      </c>
      <c r="G408" s="1" t="s">
        <v>1500</v>
      </c>
      <c r="H408" s="24">
        <v>45435</v>
      </c>
      <c r="I408" s="1"/>
      <c r="J408" s="1">
        <v>47.922884000000003</v>
      </c>
      <c r="K408" s="1">
        <v>106.887219</v>
      </c>
      <c r="L408" s="20">
        <v>0</v>
      </c>
      <c r="M408" s="20">
        <v>0.99930555555555556</v>
      </c>
      <c r="N408" s="1">
        <v>0.85929751867321935</v>
      </c>
      <c r="O408" s="1">
        <v>152.99485941120611</v>
      </c>
      <c r="P408" s="1">
        <v>0.88490403321075262</v>
      </c>
      <c r="Q408" s="1">
        <v>51.147721505376317</v>
      </c>
      <c r="R408" s="1">
        <v>0.78590213670797715</v>
      </c>
      <c r="S408" s="1">
        <v>114.92462488129156</v>
      </c>
      <c r="T408" s="1">
        <v>0.63917728873763435</v>
      </c>
      <c r="U408" s="1">
        <v>44.928683154121849</v>
      </c>
      <c r="V408" s="1">
        <v>0.97490821561532748</v>
      </c>
      <c r="W408" s="1">
        <v>147.83084805318137</v>
      </c>
      <c r="X408" s="1">
        <v>0.78885436153727584</v>
      </c>
      <c r="Y408" s="1">
        <v>44.283240860215045</v>
      </c>
      <c r="Z408" s="1">
        <v>0.68643977430401237</v>
      </c>
      <c r="AA408" s="1">
        <v>141.5181743827161</v>
      </c>
      <c r="AB408" s="1">
        <v>0.72223767112442383</v>
      </c>
      <c r="AC408" s="1">
        <v>44.739911674347155</v>
      </c>
    </row>
    <row r="409" spans="1:29" x14ac:dyDescent="0.2">
      <c r="A409" s="1" t="s">
        <v>2269</v>
      </c>
      <c r="B409" s="1" t="str">
        <f t="shared" ca="1" si="6"/>
        <v>Open</v>
      </c>
      <c r="C409" s="1" t="s">
        <v>2771</v>
      </c>
      <c r="D409" s="1" t="s">
        <v>2270</v>
      </c>
      <c r="E409" s="1" t="s">
        <v>2271</v>
      </c>
      <c r="F409" s="1" t="s">
        <v>2250</v>
      </c>
      <c r="G409" s="1" t="s">
        <v>2272</v>
      </c>
      <c r="H409" s="24">
        <v>45444</v>
      </c>
      <c r="I409" s="1"/>
      <c r="J409" s="1">
        <v>43.717748999999998</v>
      </c>
      <c r="K409" s="1">
        <v>111.906561</v>
      </c>
      <c r="L409" s="20">
        <v>0</v>
      </c>
      <c r="M409" s="20">
        <v>0.99930555555555556</v>
      </c>
      <c r="N409" s="1">
        <v>1.198468502088694</v>
      </c>
      <c r="O409" s="1">
        <v>163.48398927875243</v>
      </c>
      <c r="P409" s="1">
        <v>0.80964576307203062</v>
      </c>
      <c r="Q409" s="1">
        <v>44.306731034482745</v>
      </c>
      <c r="R409" s="1">
        <v>1.3576006534357143</v>
      </c>
      <c r="S409" s="1">
        <v>155.71063042328043</v>
      </c>
      <c r="T409" s="1">
        <v>0.90995067611111136</v>
      </c>
      <c r="U409" s="1">
        <v>56.867888888888899</v>
      </c>
      <c r="V409" s="1">
        <v>1.8749559848199999</v>
      </c>
      <c r="W409" s="1">
        <v>222.66276999999999</v>
      </c>
      <c r="X409" s="1">
        <v>1.3235947459482758</v>
      </c>
      <c r="Y409" s="1">
        <v>74.482400383141751</v>
      </c>
      <c r="Z409" s="1">
        <v>1.1434182230626417</v>
      </c>
      <c r="AA409" s="1">
        <v>162.98014927760582</v>
      </c>
      <c r="AB409" s="1">
        <v>0.61993403029877114</v>
      </c>
      <c r="AC409" s="1">
        <v>46.185543394777277</v>
      </c>
    </row>
    <row r="410" spans="1:29" x14ac:dyDescent="0.2">
      <c r="A410" s="1" t="s">
        <v>1501</v>
      </c>
      <c r="B410" s="1" t="str">
        <f t="shared" ca="1" si="6"/>
        <v>Open</v>
      </c>
      <c r="C410" s="1" t="s">
        <v>2770</v>
      </c>
      <c r="D410" s="1" t="s">
        <v>1502</v>
      </c>
      <c r="E410" s="1" t="s">
        <v>1503</v>
      </c>
      <c r="F410" s="1" t="s">
        <v>145</v>
      </c>
      <c r="G410" s="1" t="s">
        <v>1504</v>
      </c>
      <c r="H410" s="24">
        <v>45454</v>
      </c>
      <c r="I410" s="1"/>
      <c r="J410" s="1">
        <v>47.900029000000004</v>
      </c>
      <c r="K410" s="1">
        <v>106.687712</v>
      </c>
      <c r="L410" s="20">
        <v>0</v>
      </c>
      <c r="M410" s="20">
        <v>0.99930555555555556</v>
      </c>
      <c r="N410" s="1">
        <v>1.0737562422355933</v>
      </c>
      <c r="O410" s="1">
        <v>154.50486833808171</v>
      </c>
      <c r="P410" s="1">
        <v>1.0056488092713263</v>
      </c>
      <c r="Q410" s="1">
        <v>56.65092078853047</v>
      </c>
      <c r="R410" s="1">
        <v>1.0410455584724596</v>
      </c>
      <c r="S410" s="1">
        <v>134.48883998100666</v>
      </c>
      <c r="T410" s="1">
        <v>0.75290576023978495</v>
      </c>
      <c r="U410" s="1">
        <v>47.083854121863801</v>
      </c>
      <c r="V410" s="1">
        <v>1.6285469935287369</v>
      </c>
      <c r="W410" s="1">
        <v>195.80788484330492</v>
      </c>
      <c r="X410" s="1">
        <v>1.4422993228369174</v>
      </c>
      <c r="Y410" s="1">
        <v>89.452650896057364</v>
      </c>
      <c r="Z410" s="1">
        <v>0.81387869063768103</v>
      </c>
      <c r="AA410" s="1">
        <v>132.0746876006441</v>
      </c>
      <c r="AB410" s="1">
        <v>0.76477197955875587</v>
      </c>
      <c r="AC410" s="1">
        <v>50.215266513056825</v>
      </c>
    </row>
    <row r="411" spans="1:29" x14ac:dyDescent="0.2">
      <c r="A411" s="1" t="s">
        <v>1505</v>
      </c>
      <c r="B411" s="1" t="str">
        <f t="shared" ca="1" si="6"/>
        <v>Open</v>
      </c>
      <c r="C411" s="1" t="s">
        <v>2770</v>
      </c>
      <c r="D411" s="1" t="s">
        <v>1506</v>
      </c>
      <c r="E411" s="1" t="s">
        <v>1507</v>
      </c>
      <c r="F411" s="1" t="s">
        <v>11</v>
      </c>
      <c r="G411" s="1" t="s">
        <v>1508</v>
      </c>
      <c r="H411" s="24">
        <v>45473</v>
      </c>
      <c r="I411" s="1"/>
      <c r="J411" s="1">
        <v>47.908791000000001</v>
      </c>
      <c r="K411" s="1">
        <v>106.900616</v>
      </c>
      <c r="L411" s="20">
        <v>0</v>
      </c>
      <c r="M411" s="20">
        <v>0.99930555555555556</v>
      </c>
      <c r="N411" s="1">
        <v>0.39174181559414989</v>
      </c>
      <c r="O411" s="1">
        <v>66.225284919278252</v>
      </c>
      <c r="P411" s="1">
        <v>0.62160402884910404</v>
      </c>
      <c r="Q411" s="1">
        <v>27.897731182795695</v>
      </c>
      <c r="R411" s="1">
        <v>0.40737602478727447</v>
      </c>
      <c r="S411" s="1">
        <v>58.167326685660022</v>
      </c>
      <c r="T411" s="1">
        <v>0.534272947802509</v>
      </c>
      <c r="U411" s="1">
        <v>28.111145878136202</v>
      </c>
      <c r="V411" s="1">
        <v>0.42944189981403608</v>
      </c>
      <c r="W411" s="1">
        <v>63.515567768281109</v>
      </c>
      <c r="X411" s="1">
        <v>0.52574015016702524</v>
      </c>
      <c r="Y411" s="1">
        <v>27.410062365591386</v>
      </c>
      <c r="Z411" s="1">
        <v>0.32114217524154592</v>
      </c>
      <c r="AA411" s="1">
        <v>53.582142243692964</v>
      </c>
      <c r="AB411" s="1">
        <v>0.44114346864234522</v>
      </c>
      <c r="AC411" s="1">
        <v>22.263804429083464</v>
      </c>
    </row>
    <row r="412" spans="1:29" x14ac:dyDescent="0.2">
      <c r="A412" s="1" t="s">
        <v>1509</v>
      </c>
      <c r="B412" s="1" t="str">
        <f t="shared" ca="1" si="6"/>
        <v>Open</v>
      </c>
      <c r="C412" s="1" t="s">
        <v>2770</v>
      </c>
      <c r="D412" s="1" t="s">
        <v>1510</v>
      </c>
      <c r="E412" s="1" t="s">
        <v>1511</v>
      </c>
      <c r="F412" s="1" t="s">
        <v>64</v>
      </c>
      <c r="G412" s="1" t="s">
        <v>1512</v>
      </c>
      <c r="H412" s="24">
        <v>45462</v>
      </c>
      <c r="I412" s="1"/>
      <c r="J412" s="1">
        <v>47.902791000000001</v>
      </c>
      <c r="K412" s="1">
        <v>106.921502</v>
      </c>
      <c r="L412" s="20">
        <v>0.29166666666666669</v>
      </c>
      <c r="M412" s="20">
        <v>0.99930555555555556</v>
      </c>
      <c r="N412" s="1">
        <v>0.42246737976805332</v>
      </c>
      <c r="O412" s="1">
        <v>64.48506465337131</v>
      </c>
      <c r="P412" s="1">
        <v>1.2019878751322581</v>
      </c>
      <c r="Q412" s="1">
        <v>31.652299999999997</v>
      </c>
      <c r="R412" s="1">
        <v>0.55442741523171879</v>
      </c>
      <c r="S412" s="1">
        <v>78.240739791073125</v>
      </c>
      <c r="T412" s="1">
        <v>1.1884223865784944</v>
      </c>
      <c r="U412" s="1">
        <v>35.894376344086012</v>
      </c>
      <c r="V412" s="1">
        <v>0.36815453483095911</v>
      </c>
      <c r="W412" s="1">
        <v>60.034681785375113</v>
      </c>
      <c r="X412" s="1">
        <v>1.012364781388889</v>
      </c>
      <c r="Y412" s="1">
        <v>28.273224372759859</v>
      </c>
      <c r="Z412" s="1">
        <v>0.29479444899838975</v>
      </c>
      <c r="AA412" s="1">
        <v>52.355835212023607</v>
      </c>
      <c r="AB412" s="1">
        <v>0.5353043778302613</v>
      </c>
      <c r="AC412" s="1">
        <v>22.158783026113667</v>
      </c>
    </row>
    <row r="413" spans="1:29" x14ac:dyDescent="0.2">
      <c r="A413" s="1" t="s">
        <v>2273</v>
      </c>
      <c r="B413" s="1" t="str">
        <f t="shared" ca="1" si="6"/>
        <v>Open</v>
      </c>
      <c r="C413" s="1" t="s">
        <v>2771</v>
      </c>
      <c r="D413" s="1" t="s">
        <v>2274</v>
      </c>
      <c r="E413" s="1" t="s">
        <v>2275</v>
      </c>
      <c r="F413" s="1" t="s">
        <v>2276</v>
      </c>
      <c r="G413" s="1" t="s">
        <v>2674</v>
      </c>
      <c r="H413" s="24">
        <v>45497</v>
      </c>
      <c r="I413" s="1"/>
      <c r="J413" s="1">
        <v>45.769843000000002</v>
      </c>
      <c r="K413" s="1">
        <v>106.27903000000001</v>
      </c>
      <c r="L413" s="20">
        <v>0</v>
      </c>
      <c r="M413" s="20">
        <v>0.99930555555555556</v>
      </c>
      <c r="N413" s="1">
        <v>1.9392744353464051</v>
      </c>
      <c r="O413" s="1">
        <v>285.77395359477123</v>
      </c>
      <c r="P413" s="1">
        <v>0.750530853667433</v>
      </c>
      <c r="Q413" s="1">
        <v>62.208861315041418</v>
      </c>
      <c r="R413" s="1">
        <v>1.9331111774360903</v>
      </c>
      <c r="S413" s="1">
        <v>301.75822873851297</v>
      </c>
      <c r="T413" s="1">
        <v>0.95843880243942647</v>
      </c>
      <c r="U413" s="1">
        <v>67.578156630824353</v>
      </c>
      <c r="V413" s="1">
        <v>2.8083938882556816</v>
      </c>
      <c r="W413" s="1">
        <v>376.89067045454544</v>
      </c>
      <c r="X413" s="1">
        <v>1.4418625519971326</v>
      </c>
      <c r="Y413" s="1">
        <v>109.14775663082439</v>
      </c>
      <c r="Z413" s="1">
        <v>1.9299457155022575</v>
      </c>
      <c r="AA413" s="1">
        <v>358.54976360939116</v>
      </c>
      <c r="AB413" s="1">
        <v>0.67325838400192017</v>
      </c>
      <c r="AC413" s="1">
        <v>56.589246543778806</v>
      </c>
    </row>
    <row r="414" spans="1:29" x14ac:dyDescent="0.2">
      <c r="A414" s="1" t="s">
        <v>1513</v>
      </c>
      <c r="B414" s="1" t="str">
        <f t="shared" ca="1" si="6"/>
        <v>Open</v>
      </c>
      <c r="C414" s="1" t="s">
        <v>2770</v>
      </c>
      <c r="D414" s="1" t="s">
        <v>1514</v>
      </c>
      <c r="E414" s="1" t="s">
        <v>1515</v>
      </c>
      <c r="F414" s="1" t="s">
        <v>48</v>
      </c>
      <c r="G414" s="1" t="s">
        <v>1516</v>
      </c>
      <c r="H414" s="24">
        <v>45473</v>
      </c>
      <c r="I414" s="1"/>
      <c r="J414" s="1">
        <v>47.921675999999998</v>
      </c>
      <c r="K414" s="1">
        <v>106.940721</v>
      </c>
      <c r="L414" s="20">
        <v>0</v>
      </c>
      <c r="M414" s="20">
        <v>0.99930555555555556</v>
      </c>
      <c r="N414" s="1">
        <v>0.54548217050953474</v>
      </c>
      <c r="O414" s="1">
        <v>80.925200778727429</v>
      </c>
      <c r="P414" s="1">
        <v>1.189173466414337</v>
      </c>
      <c r="Q414" s="1">
        <v>39.902735483870963</v>
      </c>
      <c r="R414" s="1">
        <v>0.53197439748765418</v>
      </c>
      <c r="S414" s="1">
        <v>68.643819563152888</v>
      </c>
      <c r="T414" s="1">
        <v>1.0012341583154118</v>
      </c>
      <c r="U414" s="1">
        <v>38.180661648745527</v>
      </c>
      <c r="V414" s="1">
        <v>0.54678432174488123</v>
      </c>
      <c r="W414" s="1">
        <v>73.242993694207044</v>
      </c>
      <c r="X414" s="1">
        <v>0.91566134773548358</v>
      </c>
      <c r="Y414" s="1">
        <v>30.800139784946236</v>
      </c>
      <c r="Z414" s="1">
        <v>0.400010185862963</v>
      </c>
      <c r="AA414" s="1">
        <v>64.562028395061716</v>
      </c>
      <c r="AB414" s="1">
        <v>0.69782435509523799</v>
      </c>
      <c r="AC414" s="1">
        <v>29.676675115207377</v>
      </c>
    </row>
    <row r="415" spans="1:29" x14ac:dyDescent="0.2">
      <c r="A415" s="1" t="s">
        <v>2277</v>
      </c>
      <c r="B415" s="1" t="str">
        <f t="shared" ca="1" si="6"/>
        <v>Open</v>
      </c>
      <c r="C415" s="1" t="s">
        <v>2771</v>
      </c>
      <c r="D415" s="1" t="s">
        <v>2278</v>
      </c>
      <c r="E415" s="1" t="s">
        <v>2279</v>
      </c>
      <c r="F415" s="1" t="s">
        <v>2280</v>
      </c>
      <c r="G415" s="1" t="s">
        <v>2281</v>
      </c>
      <c r="H415" s="24">
        <v>45468</v>
      </c>
      <c r="I415" s="1"/>
      <c r="J415" s="1">
        <v>44.891759999999998</v>
      </c>
      <c r="K415" s="1">
        <v>110.13561</v>
      </c>
      <c r="L415" s="20">
        <v>0</v>
      </c>
      <c r="M415" s="20">
        <v>0.99930555555555556</v>
      </c>
      <c r="N415" s="1">
        <v>1.0615749155969698</v>
      </c>
      <c r="O415" s="1">
        <v>149.21226818181822</v>
      </c>
      <c r="P415" s="1">
        <v>1.164353529465542</v>
      </c>
      <c r="Q415" s="1">
        <v>92.1333230626622</v>
      </c>
      <c r="R415" s="1">
        <v>1.2571557386285714</v>
      </c>
      <c r="S415" s="1">
        <v>139.78308730158733</v>
      </c>
      <c r="T415" s="1">
        <v>1.1469011638127551</v>
      </c>
      <c r="U415" s="1">
        <v>90.049309232480553</v>
      </c>
      <c r="V415" s="1">
        <v>1.2113687246733331</v>
      </c>
      <c r="W415" s="1">
        <v>146.73994363636368</v>
      </c>
      <c r="X415" s="1">
        <v>1.1724819956533186</v>
      </c>
      <c r="Y415" s="1">
        <v>90.420869113830193</v>
      </c>
      <c r="Z415" s="1">
        <v>1.070245135069956</v>
      </c>
      <c r="AA415" s="1">
        <v>155.30625877192983</v>
      </c>
      <c r="AB415" s="1">
        <v>0.97352395576881745</v>
      </c>
      <c r="AC415" s="1">
        <v>78.104767281105978</v>
      </c>
    </row>
    <row r="416" spans="1:29" x14ac:dyDescent="0.2">
      <c r="A416" s="1" t="s">
        <v>1517</v>
      </c>
      <c r="B416" s="1" t="str">
        <f t="shared" ca="1" si="6"/>
        <v>Open</v>
      </c>
      <c r="C416" s="1" t="s">
        <v>2770</v>
      </c>
      <c r="D416" s="1" t="s">
        <v>1518</v>
      </c>
      <c r="E416" s="1" t="s">
        <v>1519</v>
      </c>
      <c r="F416" s="1" t="s">
        <v>28</v>
      </c>
      <c r="G416" s="1" t="s">
        <v>1520</v>
      </c>
      <c r="H416" s="24">
        <v>45470</v>
      </c>
      <c r="I416" s="1"/>
      <c r="J416" s="1">
        <v>47.915024000000003</v>
      </c>
      <c r="K416" s="1">
        <v>106.883199</v>
      </c>
      <c r="L416" s="20">
        <v>0</v>
      </c>
      <c r="M416" s="20">
        <v>0.99930555555555556</v>
      </c>
      <c r="N416" s="1">
        <v>0.55744375712955352</v>
      </c>
      <c r="O416" s="1">
        <v>82.52136860398862</v>
      </c>
      <c r="P416" s="1">
        <v>0.98414076592795707</v>
      </c>
      <c r="Q416" s="1">
        <v>37.13008566308244</v>
      </c>
      <c r="R416" s="1">
        <v>0.5000287640906933</v>
      </c>
      <c r="S416" s="1">
        <v>72.183119183285854</v>
      </c>
      <c r="T416" s="1">
        <v>0.87835622350394293</v>
      </c>
      <c r="U416" s="1">
        <v>37.020035483870963</v>
      </c>
      <c r="V416" s="1">
        <v>0.59244544704083568</v>
      </c>
      <c r="W416" s="1">
        <v>83.005387331434008</v>
      </c>
      <c r="X416" s="1">
        <v>0.8675316156118279</v>
      </c>
      <c r="Y416" s="1">
        <v>36.818016845878134</v>
      </c>
      <c r="Z416" s="1">
        <v>0.48399139844498112</v>
      </c>
      <c r="AA416" s="1">
        <v>91.946706387546953</v>
      </c>
      <c r="AB416" s="1">
        <v>0.67294348428302619</v>
      </c>
      <c r="AC416" s="1">
        <v>27.442413210445469</v>
      </c>
    </row>
    <row r="417" spans="1:29" x14ac:dyDescent="0.2">
      <c r="A417" s="1" t="s">
        <v>2282</v>
      </c>
      <c r="B417" s="1" t="str">
        <f t="shared" ca="1" si="6"/>
        <v>Open</v>
      </c>
      <c r="C417" s="1" t="s">
        <v>2771</v>
      </c>
      <c r="D417" s="1" t="s">
        <v>2283</v>
      </c>
      <c r="E417" s="1" t="s">
        <v>2284</v>
      </c>
      <c r="F417" s="1" t="s">
        <v>2285</v>
      </c>
      <c r="G417" s="1" t="s">
        <v>2286</v>
      </c>
      <c r="H417" s="24">
        <v>45478</v>
      </c>
      <c r="I417" s="1"/>
      <c r="J417" s="1">
        <v>43.571619400000003</v>
      </c>
      <c r="K417" s="1">
        <v>104.42683</v>
      </c>
      <c r="L417" s="20">
        <v>0</v>
      </c>
      <c r="M417" s="20">
        <v>0.99930555555555556</v>
      </c>
      <c r="N417" s="1">
        <v>1.3396372926590718</v>
      </c>
      <c r="O417" s="1">
        <v>164.65769803296118</v>
      </c>
      <c r="P417" s="1">
        <v>1.699255591591756</v>
      </c>
      <c r="Q417" s="1">
        <v>110.80947204301076</v>
      </c>
      <c r="R417" s="1">
        <v>1.3362722073675439</v>
      </c>
      <c r="S417" s="1">
        <v>148.50737456140351</v>
      </c>
      <c r="T417" s="1">
        <v>1.6859001188609317</v>
      </c>
      <c r="U417" s="1">
        <v>108.70663046594984</v>
      </c>
      <c r="V417" s="1">
        <v>1.3402770602297369</v>
      </c>
      <c r="W417" s="1">
        <v>166.38203864734302</v>
      </c>
      <c r="X417" s="1">
        <v>1.68870677143405</v>
      </c>
      <c r="Y417" s="1">
        <v>90.505524372759865</v>
      </c>
      <c r="Z417" s="1">
        <v>1.0136731288014353</v>
      </c>
      <c r="AA417" s="1">
        <v>131.2907567783094</v>
      </c>
      <c r="AB417" s="1">
        <v>1.2602237975506909</v>
      </c>
      <c r="AC417" s="1">
        <v>92.629141705069159</v>
      </c>
    </row>
    <row r="418" spans="1:29" x14ac:dyDescent="0.2">
      <c r="A418" s="1" t="s">
        <v>2287</v>
      </c>
      <c r="B418" s="1" t="str">
        <f t="shared" ca="1" si="6"/>
        <v>Open</v>
      </c>
      <c r="C418" s="1" t="s">
        <v>2771</v>
      </c>
      <c r="D418" s="1" t="s">
        <v>2288</v>
      </c>
      <c r="E418" s="1" t="s">
        <v>2289</v>
      </c>
      <c r="F418" s="1" t="s">
        <v>2262</v>
      </c>
      <c r="G418" s="1" t="s">
        <v>2290</v>
      </c>
      <c r="H418" s="24">
        <v>45497</v>
      </c>
      <c r="I418" s="1"/>
      <c r="J418" s="1">
        <v>50.232411499999998</v>
      </c>
      <c r="K418" s="1">
        <v>106.20899</v>
      </c>
      <c r="L418" s="20">
        <v>0</v>
      </c>
      <c r="M418" s="20">
        <v>0.99930555555555556</v>
      </c>
      <c r="N418" s="1">
        <v>0.48959600745434168</v>
      </c>
      <c r="O418" s="1">
        <v>76.443760410831004</v>
      </c>
      <c r="P418" s="1">
        <v>0.49147736348888893</v>
      </c>
      <c r="Q418" s="1">
        <v>22.98992222222223</v>
      </c>
      <c r="R418" s="1">
        <v>0.54879023924836601</v>
      </c>
      <c r="S418" s="1">
        <v>68.609909430438847</v>
      </c>
      <c r="T418" s="1">
        <v>0.49110925009318995</v>
      </c>
      <c r="U418" s="1">
        <v>25.031785663082434</v>
      </c>
      <c r="V418" s="1">
        <v>0.68536608388679043</v>
      </c>
      <c r="W418" s="1">
        <v>90.36880557275542</v>
      </c>
      <c r="X418" s="1">
        <v>0.56537503768960573</v>
      </c>
      <c r="Y418" s="1">
        <v>29.865102508960575</v>
      </c>
      <c r="Z418" s="1">
        <v>0.41469614036646824</v>
      </c>
      <c r="AA418" s="1">
        <v>76.048427380952376</v>
      </c>
      <c r="AB418" s="1">
        <v>0.34048079880606763</v>
      </c>
      <c r="AC418" s="1">
        <v>21.354226574500768</v>
      </c>
    </row>
    <row r="419" spans="1:29" x14ac:dyDescent="0.2">
      <c r="A419" s="1" t="s">
        <v>1521</v>
      </c>
      <c r="B419" s="1" t="str">
        <f t="shared" ca="1" si="6"/>
        <v>Open</v>
      </c>
      <c r="C419" s="1" t="s">
        <v>2770</v>
      </c>
      <c r="D419" s="1" t="s">
        <v>1522</v>
      </c>
      <c r="E419" s="1" t="s">
        <v>1523</v>
      </c>
      <c r="F419" s="1" t="s">
        <v>48</v>
      </c>
      <c r="G419" s="1" t="s">
        <v>1524</v>
      </c>
      <c r="H419" s="24">
        <v>45480</v>
      </c>
      <c r="I419" s="1"/>
      <c r="J419" s="1">
        <v>47.916719000000001</v>
      </c>
      <c r="K419" s="1">
        <v>106.969227</v>
      </c>
      <c r="L419" s="20">
        <v>0.29166666666666669</v>
      </c>
      <c r="M419" s="20">
        <v>0.99930555555555556</v>
      </c>
      <c r="N419" s="1">
        <v>0.72618802888594491</v>
      </c>
      <c r="O419" s="1">
        <v>119.27186433048432</v>
      </c>
      <c r="P419" s="1">
        <v>1.9153348129476706</v>
      </c>
      <c r="Q419" s="1">
        <v>73.281844444444445</v>
      </c>
      <c r="R419" s="1">
        <v>0.72240585498243126</v>
      </c>
      <c r="S419" s="1">
        <v>112.66929202279202</v>
      </c>
      <c r="T419" s="1">
        <v>1.2198085497820792</v>
      </c>
      <c r="U419" s="1">
        <v>60.117950896057344</v>
      </c>
      <c r="V419" s="1">
        <v>0.64020951614208921</v>
      </c>
      <c r="W419" s="1">
        <v>103.25088852801518</v>
      </c>
      <c r="X419" s="1">
        <v>1.1959121520408604</v>
      </c>
      <c r="Y419" s="1">
        <v>51.451673118279565</v>
      </c>
      <c r="Z419" s="1">
        <v>0.58033716510802469</v>
      </c>
      <c r="AA419" s="1">
        <v>111.8135524691358</v>
      </c>
      <c r="AB419" s="1">
        <v>1.3118191049462362</v>
      </c>
      <c r="AC419" s="1">
        <v>59.047705069124426</v>
      </c>
    </row>
    <row r="420" spans="1:29" x14ac:dyDescent="0.2">
      <c r="A420" s="1" t="s">
        <v>1525</v>
      </c>
      <c r="B420" s="1" t="str">
        <f t="shared" ca="1" si="6"/>
        <v>Open</v>
      </c>
      <c r="C420" s="1" t="s">
        <v>2770</v>
      </c>
      <c r="D420" s="1" t="s">
        <v>1526</v>
      </c>
      <c r="E420" s="1" t="s">
        <v>1527</v>
      </c>
      <c r="F420" s="1" t="s">
        <v>33</v>
      </c>
      <c r="G420" s="1" t="s">
        <v>1528</v>
      </c>
      <c r="H420" s="24">
        <v>45497</v>
      </c>
      <c r="I420" s="1"/>
      <c r="J420" s="1">
        <v>47.950389999999999</v>
      </c>
      <c r="K420" s="1">
        <v>106.910612</v>
      </c>
      <c r="L420" s="20">
        <v>0</v>
      </c>
      <c r="M420" s="20">
        <v>0.99930555555555556</v>
      </c>
      <c r="N420" s="1">
        <v>0.46887068516302</v>
      </c>
      <c r="O420" s="1">
        <v>77.500845944919263</v>
      </c>
      <c r="P420" s="1">
        <v>0.60158471559677407</v>
      </c>
      <c r="Q420" s="1">
        <v>32.440781720430103</v>
      </c>
      <c r="R420" s="1">
        <v>0.39127065425071228</v>
      </c>
      <c r="S420" s="1">
        <v>54.198906457739788</v>
      </c>
      <c r="T420" s="1">
        <v>0.49287423764623656</v>
      </c>
      <c r="U420" s="1">
        <v>27.623467025089607</v>
      </c>
      <c r="V420" s="1">
        <v>0.56346083179817674</v>
      </c>
      <c r="W420" s="1">
        <v>75.393442488129153</v>
      </c>
      <c r="X420" s="1">
        <v>0.53048393570609331</v>
      </c>
      <c r="Y420" s="1">
        <v>29.52165627240144</v>
      </c>
      <c r="Z420" s="1">
        <v>0.45434771385990341</v>
      </c>
      <c r="AA420" s="1">
        <v>68.228185721953849</v>
      </c>
      <c r="AB420" s="1">
        <v>0.38668525012250377</v>
      </c>
      <c r="AC420" s="1">
        <v>24.450524961597548</v>
      </c>
    </row>
    <row r="421" spans="1:29" x14ac:dyDescent="0.2">
      <c r="A421" s="1" t="s">
        <v>1529</v>
      </c>
      <c r="B421" s="1" t="str">
        <f t="shared" ca="1" si="6"/>
        <v>Open</v>
      </c>
      <c r="C421" s="1" t="s">
        <v>2770</v>
      </c>
      <c r="D421" s="1" t="s">
        <v>1530</v>
      </c>
      <c r="E421" s="1" t="s">
        <v>1531</v>
      </c>
      <c r="F421" s="1" t="s">
        <v>64</v>
      </c>
      <c r="G421" s="1" t="s">
        <v>1532</v>
      </c>
      <c r="H421" s="24">
        <v>45496</v>
      </c>
      <c r="I421" s="1"/>
      <c r="J421" s="1">
        <v>47.890050000000002</v>
      </c>
      <c r="K421" s="1">
        <v>106.93178</v>
      </c>
      <c r="L421" s="20">
        <v>0.29166666666666669</v>
      </c>
      <c r="M421" s="20">
        <v>0.99930555555555556</v>
      </c>
      <c r="N421" s="1">
        <v>0.4612606448109971</v>
      </c>
      <c r="O421" s="1">
        <v>94.644996049382726</v>
      </c>
      <c r="P421" s="1">
        <v>1.1399833703351256</v>
      </c>
      <c r="Q421" s="1">
        <v>43.080703225806452</v>
      </c>
      <c r="R421" s="1">
        <v>0.57766678467616339</v>
      </c>
      <c r="S421" s="1">
        <v>95.261138651471981</v>
      </c>
      <c r="T421" s="1">
        <v>1.035468174797491</v>
      </c>
      <c r="U421" s="1">
        <v>46.590882795698924</v>
      </c>
      <c r="V421" s="1">
        <v>0.60576985409574546</v>
      </c>
      <c r="W421" s="1">
        <v>112.88757912630581</v>
      </c>
      <c r="X421" s="1">
        <v>1.0287436948537636</v>
      </c>
      <c r="Y421" s="1">
        <v>47.584316845878128</v>
      </c>
      <c r="Z421" s="1">
        <v>0.37761407701459043</v>
      </c>
      <c r="AA421" s="1">
        <v>77.054195847362507</v>
      </c>
      <c r="AB421" s="1">
        <v>0.86466470607219648</v>
      </c>
      <c r="AC421" s="1">
        <v>38.765545698924726</v>
      </c>
    </row>
    <row r="422" spans="1:29" x14ac:dyDescent="0.2">
      <c r="A422" s="1" t="s">
        <v>2291</v>
      </c>
      <c r="B422" s="1" t="str">
        <f t="shared" ca="1" si="6"/>
        <v>Open</v>
      </c>
      <c r="C422" s="1" t="s">
        <v>2771</v>
      </c>
      <c r="D422" s="1" t="s">
        <v>2292</v>
      </c>
      <c r="E422" s="1" t="s">
        <v>2293</v>
      </c>
      <c r="F422" s="1" t="s">
        <v>2285</v>
      </c>
      <c r="G422" s="1" t="s">
        <v>2294</v>
      </c>
      <c r="H422" s="24">
        <v>45504</v>
      </c>
      <c r="I422" s="1"/>
      <c r="J422" s="1">
        <v>43.571820000000002</v>
      </c>
      <c r="K422" s="1">
        <v>104.43031999999999</v>
      </c>
      <c r="L422" s="20">
        <v>0.29166666666666669</v>
      </c>
      <c r="M422" s="20">
        <v>0.99930555555555556</v>
      </c>
      <c r="N422" s="1">
        <v>0.49751632929824563</v>
      </c>
      <c r="O422" s="1">
        <v>80.396758284600381</v>
      </c>
      <c r="P422" s="1">
        <v>0.61274145658422929</v>
      </c>
      <c r="Q422" s="1">
        <v>42.555340501792124</v>
      </c>
      <c r="R422" s="1">
        <v>0.51050385926315789</v>
      </c>
      <c r="S422" s="1">
        <v>70.465730701754381</v>
      </c>
      <c r="T422" s="1">
        <v>0.59604193975017927</v>
      </c>
      <c r="U422" s="1">
        <v>42.387906451612899</v>
      </c>
      <c r="V422" s="1">
        <v>0.67599147512896807</v>
      </c>
      <c r="W422" s="1">
        <v>97.308470238095239</v>
      </c>
      <c r="X422" s="1">
        <v>0.57368570200358426</v>
      </c>
      <c r="Y422" s="1">
        <v>40.053741218637981</v>
      </c>
      <c r="Z422" s="1">
        <v>0.48658377751346804</v>
      </c>
      <c r="AA422" s="1">
        <v>81.615112794612799</v>
      </c>
      <c r="AB422" s="1">
        <v>0.50101938513183741</v>
      </c>
      <c r="AC422" s="1">
        <v>36.9298719027583</v>
      </c>
    </row>
    <row r="423" spans="1:29" x14ac:dyDescent="0.2">
      <c r="A423" s="1" t="s">
        <v>1533</v>
      </c>
      <c r="B423" s="1" t="str">
        <f t="shared" ca="1" si="6"/>
        <v>Open</v>
      </c>
      <c r="C423" s="1" t="s">
        <v>2770</v>
      </c>
      <c r="D423" s="1" t="s">
        <v>1534</v>
      </c>
      <c r="E423" s="1" t="s">
        <v>1535</v>
      </c>
      <c r="F423" s="1" t="s">
        <v>145</v>
      </c>
      <c r="G423" s="1" t="s">
        <v>1536</v>
      </c>
      <c r="H423" s="24">
        <v>45516</v>
      </c>
      <c r="I423" s="1"/>
      <c r="J423" s="1">
        <v>47.952893000000003</v>
      </c>
      <c r="K423" s="1">
        <v>106.85517299999999</v>
      </c>
      <c r="L423" s="20">
        <v>0</v>
      </c>
      <c r="M423" s="20">
        <v>0.99930555555555556</v>
      </c>
      <c r="N423" s="1">
        <v>0.34535806074700853</v>
      </c>
      <c r="O423" s="1">
        <v>47.528839677112991</v>
      </c>
      <c r="P423" s="1">
        <v>0.49302121427025086</v>
      </c>
      <c r="Q423" s="1">
        <v>26.174684229390678</v>
      </c>
      <c r="R423" s="1">
        <v>0.36132569412630589</v>
      </c>
      <c r="S423" s="1">
        <v>41.13901899335233</v>
      </c>
      <c r="T423" s="1">
        <v>0.42082418292688173</v>
      </c>
      <c r="U423" s="1">
        <v>27.619881003584226</v>
      </c>
      <c r="V423" s="1">
        <v>0.42709332978638176</v>
      </c>
      <c r="W423" s="1">
        <v>45.466621025641025</v>
      </c>
      <c r="X423" s="1">
        <v>0.49286836896129022</v>
      </c>
      <c r="Y423" s="1">
        <v>28.173354480286736</v>
      </c>
      <c r="Z423" s="1">
        <v>0.32967882776382179</v>
      </c>
      <c r="AA423" s="1">
        <v>50.148702630166383</v>
      </c>
      <c r="AB423" s="1">
        <v>0.34246816009178183</v>
      </c>
      <c r="AC423" s="1">
        <v>22.6882688172043</v>
      </c>
    </row>
    <row r="424" spans="1:29" x14ac:dyDescent="0.2">
      <c r="A424" s="1" t="s">
        <v>1537</v>
      </c>
      <c r="B424" s="1" t="str">
        <f t="shared" ca="1" si="6"/>
        <v>Open</v>
      </c>
      <c r="C424" s="1" t="s">
        <v>2770</v>
      </c>
      <c r="D424" s="1" t="s">
        <v>1538</v>
      </c>
      <c r="E424" s="1" t="s">
        <v>1539</v>
      </c>
      <c r="F424" s="1" t="s">
        <v>64</v>
      </c>
      <c r="G424" s="1" t="s">
        <v>1540</v>
      </c>
      <c r="H424" s="24">
        <v>45532</v>
      </c>
      <c r="I424" s="1"/>
      <c r="J424" s="1">
        <v>47.840100499999998</v>
      </c>
      <c r="K424" s="1">
        <v>106.69736</v>
      </c>
      <c r="L424" s="20">
        <v>0</v>
      </c>
      <c r="M424" s="20">
        <v>0.99930555555555556</v>
      </c>
      <c r="N424" s="1">
        <v>0.94640362546598278</v>
      </c>
      <c r="O424" s="1">
        <v>143.00204036087368</v>
      </c>
      <c r="P424" s="1">
        <v>0.6808210063405018</v>
      </c>
      <c r="Q424" s="1">
        <v>43.205896057347672</v>
      </c>
      <c r="R424" s="1">
        <v>0.8795598526552707</v>
      </c>
      <c r="S424" s="1">
        <v>124.26531671415005</v>
      </c>
      <c r="T424" s="1">
        <v>0.55835065585663068</v>
      </c>
      <c r="U424" s="1">
        <v>37.490130824372763</v>
      </c>
      <c r="V424" s="1">
        <v>1.4523796724368279</v>
      </c>
      <c r="W424" s="1">
        <v>179.08044959164295</v>
      </c>
      <c r="X424" s="1">
        <v>0.96037473126559136</v>
      </c>
      <c r="Y424" s="1">
        <v>55.976347670250902</v>
      </c>
      <c r="Z424" s="1">
        <v>0.74348081399248522</v>
      </c>
      <c r="AA424" s="1">
        <v>140.0001567364466</v>
      </c>
      <c r="AB424" s="1">
        <v>0.56009712996006134</v>
      </c>
      <c r="AC424" s="1">
        <v>36.563190860215052</v>
      </c>
    </row>
    <row r="425" spans="1:29" x14ac:dyDescent="0.2">
      <c r="A425" s="1" t="s">
        <v>1541</v>
      </c>
      <c r="B425" s="1" t="str">
        <f t="shared" ca="1" si="6"/>
        <v>Open</v>
      </c>
      <c r="C425" s="1" t="s">
        <v>2770</v>
      </c>
      <c r="D425" s="1" t="s">
        <v>1542</v>
      </c>
      <c r="E425" s="1" t="s">
        <v>1543</v>
      </c>
      <c r="F425" s="1" t="s">
        <v>33</v>
      </c>
      <c r="G425" s="1" t="s">
        <v>1544</v>
      </c>
      <c r="H425" s="24">
        <v>45527</v>
      </c>
      <c r="I425" s="1"/>
      <c r="J425" s="1">
        <v>47.946969699999997</v>
      </c>
      <c r="K425" s="1">
        <v>106.91388000000001</v>
      </c>
      <c r="L425" s="20">
        <v>0</v>
      </c>
      <c r="M425" s="20">
        <v>0.99930555555555556</v>
      </c>
      <c r="N425" s="1">
        <v>0.6584759817549668</v>
      </c>
      <c r="O425" s="1">
        <v>116.73884469135804</v>
      </c>
      <c r="P425" s="1">
        <v>0.63151445587777788</v>
      </c>
      <c r="Q425" s="1">
        <v>39.133566666666674</v>
      </c>
      <c r="R425" s="1">
        <v>0.47587677958784425</v>
      </c>
      <c r="S425" s="1">
        <v>61.14019515669515</v>
      </c>
      <c r="T425" s="1">
        <v>0.48915618362653973</v>
      </c>
      <c r="U425" s="1">
        <v>32.313039907167088</v>
      </c>
      <c r="V425" s="1">
        <v>0.55397408292849004</v>
      </c>
      <c r="W425" s="1">
        <v>77.125628793922132</v>
      </c>
      <c r="X425" s="1">
        <v>0.61387366665900378</v>
      </c>
      <c r="Y425" s="1">
        <v>30.990806896551721</v>
      </c>
      <c r="Z425" s="1">
        <v>0.49211639671819635</v>
      </c>
      <c r="AA425" s="1">
        <v>103.37478958668817</v>
      </c>
      <c r="AB425" s="1">
        <v>0.39328457761762453</v>
      </c>
      <c r="AC425" s="1">
        <v>29.747870557029177</v>
      </c>
    </row>
    <row r="426" spans="1:29" x14ac:dyDescent="0.2">
      <c r="A426" s="1" t="s">
        <v>1545</v>
      </c>
      <c r="B426" s="1" t="str">
        <f t="shared" ca="1" si="6"/>
        <v>Open</v>
      </c>
      <c r="C426" s="1" t="s">
        <v>2770</v>
      </c>
      <c r="D426" s="1" t="s">
        <v>1546</v>
      </c>
      <c r="E426" s="1" t="s">
        <v>1547</v>
      </c>
      <c r="F426" s="1" t="s">
        <v>48</v>
      </c>
      <c r="G426" s="1" t="s">
        <v>1548</v>
      </c>
      <c r="H426" s="24">
        <v>45533</v>
      </c>
      <c r="I426" s="1"/>
      <c r="J426" s="1">
        <v>47.912334999999999</v>
      </c>
      <c r="K426" s="1">
        <v>106.98842999999999</v>
      </c>
      <c r="L426" s="20">
        <v>0</v>
      </c>
      <c r="M426" s="20">
        <v>0.99930555555555556</v>
      </c>
      <c r="N426" s="1">
        <v>0.58774450549377022</v>
      </c>
      <c r="O426" s="1">
        <v>91.649870883190886</v>
      </c>
      <c r="P426" s="1">
        <v>0.78717526309875174</v>
      </c>
      <c r="Q426" s="1">
        <v>40.744081535038923</v>
      </c>
      <c r="R426" s="1">
        <v>0.59556615387369416</v>
      </c>
      <c r="S426" s="1">
        <v>74.19635232668567</v>
      </c>
      <c r="T426" s="1">
        <v>0.6559945303268816</v>
      </c>
      <c r="U426" s="1">
        <v>34.568465591397846</v>
      </c>
      <c r="V426" s="1">
        <v>0.6638166673433048</v>
      </c>
      <c r="W426" s="1">
        <v>84.594459202279211</v>
      </c>
      <c r="X426" s="1">
        <v>0.67902669958028705</v>
      </c>
      <c r="Y426" s="1">
        <v>37.457961290322579</v>
      </c>
      <c r="Z426" s="1">
        <v>0.51268228391358017</v>
      </c>
      <c r="AA426" s="1">
        <v>91.996957595276442</v>
      </c>
      <c r="AB426" s="1">
        <v>0.49869408822158218</v>
      </c>
      <c r="AC426" s="1">
        <v>30.565731182795702</v>
      </c>
    </row>
    <row r="427" spans="1:29" x14ac:dyDescent="0.2">
      <c r="A427" s="1" t="s">
        <v>2295</v>
      </c>
      <c r="B427" s="1" t="str">
        <f t="shared" ca="1" si="6"/>
        <v>Open</v>
      </c>
      <c r="C427" s="1" t="s">
        <v>2771</v>
      </c>
      <c r="D427" s="1" t="s">
        <v>2296</v>
      </c>
      <c r="E427" s="1" t="s">
        <v>2297</v>
      </c>
      <c r="F427" s="1" t="s">
        <v>2298</v>
      </c>
      <c r="G427" s="1" t="s">
        <v>2299</v>
      </c>
      <c r="H427" s="24">
        <v>45559</v>
      </c>
      <c r="I427" s="1"/>
      <c r="J427" s="1">
        <v>49.097028999999999</v>
      </c>
      <c r="K427" s="1">
        <v>105.55269800000001</v>
      </c>
      <c r="L427" s="20">
        <v>0</v>
      </c>
      <c r="M427" s="20">
        <v>0.99930555555555556</v>
      </c>
      <c r="N427" s="1">
        <v>0.5442730969844054</v>
      </c>
      <c r="O427" s="1">
        <v>77.581999582289043</v>
      </c>
      <c r="P427" s="1">
        <v>0.84257782253763447</v>
      </c>
      <c r="Q427" s="1">
        <v>40.019861290322574</v>
      </c>
      <c r="R427" s="1">
        <v>0.6210299427446393</v>
      </c>
      <c r="S427" s="1">
        <v>82.086999025341129</v>
      </c>
      <c r="T427" s="1">
        <v>0.75237947601743504</v>
      </c>
      <c r="U427" s="1">
        <v>35.130968074756787</v>
      </c>
      <c r="V427" s="1">
        <v>0.64322383138741579</v>
      </c>
      <c r="W427" s="1">
        <v>87.558072180134673</v>
      </c>
      <c r="X427" s="1">
        <v>0.78291137507598574</v>
      </c>
      <c r="Y427" s="1">
        <v>38.853868100358419</v>
      </c>
      <c r="Z427" s="1">
        <v>0.40884433966111117</v>
      </c>
      <c r="AA427" s="1">
        <v>69.993414814814813</v>
      </c>
      <c r="AB427" s="1">
        <v>0.90505764164554536</v>
      </c>
      <c r="AC427" s="1">
        <v>30.726836021505374</v>
      </c>
    </row>
    <row r="428" spans="1:29" x14ac:dyDescent="0.2">
      <c r="A428" s="1" t="s">
        <v>1549</v>
      </c>
      <c r="B428" s="1" t="str">
        <f t="shared" ca="1" si="6"/>
        <v>Closed</v>
      </c>
      <c r="C428" s="1" t="s">
        <v>2771</v>
      </c>
      <c r="D428" s="1" t="s">
        <v>1550</v>
      </c>
      <c r="E428" s="1" t="s">
        <v>1551</v>
      </c>
      <c r="F428" s="1" t="s">
        <v>1222</v>
      </c>
      <c r="G428" s="1" t="s">
        <v>1552</v>
      </c>
      <c r="H428" s="24">
        <v>45534</v>
      </c>
      <c r="I428" s="24">
        <v>45863</v>
      </c>
      <c r="J428" s="1">
        <v>47.705856300000001</v>
      </c>
      <c r="K428" s="1">
        <v>106.950585</v>
      </c>
      <c r="L428" s="20">
        <v>0.29166666666666669</v>
      </c>
      <c r="M428" s="20">
        <v>0.99930555555555556</v>
      </c>
      <c r="N428" s="1">
        <v>0.73639092957822683</v>
      </c>
      <c r="O428" s="1">
        <v>120.83034189340572</v>
      </c>
      <c r="P428" s="1">
        <v>1.0305683280225519</v>
      </c>
      <c r="Q428" s="1">
        <v>50.741335744455974</v>
      </c>
      <c r="R428" s="1">
        <v>0.37108601175576816</v>
      </c>
      <c r="S428" s="1">
        <v>60.413760044043563</v>
      </c>
      <c r="T428" s="1">
        <v>0.45200264259220962</v>
      </c>
      <c r="U428" s="1">
        <v>33.011256535400641</v>
      </c>
      <c r="V428" s="1">
        <v>0.4487134857921185</v>
      </c>
      <c r="W428" s="1">
        <v>68.592643788708813</v>
      </c>
      <c r="X428" s="1">
        <v>0.55227516329590776</v>
      </c>
      <c r="Y428" s="1">
        <v>32.596949283899804</v>
      </c>
      <c r="Z428" s="1">
        <v>0.61668712407906823</v>
      </c>
      <c r="AA428" s="1">
        <v>111.42882484304808</v>
      </c>
      <c r="AB428" s="1">
        <v>0.75426453629546997</v>
      </c>
      <c r="AC428" s="1">
        <v>41.5584292989384</v>
      </c>
    </row>
    <row r="429" spans="1:29" x14ac:dyDescent="0.2">
      <c r="A429" s="1" t="s">
        <v>1553</v>
      </c>
      <c r="B429" s="1" t="str">
        <f t="shared" ca="1" si="6"/>
        <v>Open</v>
      </c>
      <c r="C429" s="1" t="s">
        <v>2770</v>
      </c>
      <c r="D429" s="1" t="s">
        <v>1554</v>
      </c>
      <c r="E429" s="1" t="s">
        <v>1555</v>
      </c>
      <c r="F429" s="1" t="s">
        <v>64</v>
      </c>
      <c r="G429" s="1" t="s">
        <v>1556</v>
      </c>
      <c r="H429" s="24">
        <v>45554</v>
      </c>
      <c r="I429" s="1"/>
      <c r="J429" s="1">
        <v>47.90719</v>
      </c>
      <c r="K429" s="1">
        <v>106.92868</v>
      </c>
      <c r="L429" s="20">
        <v>0</v>
      </c>
      <c r="M429" s="20">
        <v>0.99930555555555556</v>
      </c>
      <c r="N429" s="1">
        <v>0.6672433668072556</v>
      </c>
      <c r="O429" s="1">
        <v>118.88119975308645</v>
      </c>
      <c r="P429" s="1">
        <v>0.82340765796953408</v>
      </c>
      <c r="Q429" s="1">
        <v>46.181768458781356</v>
      </c>
      <c r="R429" s="1">
        <v>0.69336191965147209</v>
      </c>
      <c r="S429" s="1">
        <v>114.96751614434947</v>
      </c>
      <c r="T429" s="1">
        <v>0.66512271791863797</v>
      </c>
      <c r="U429" s="1">
        <v>41.541274551971334</v>
      </c>
      <c r="V429" s="1">
        <v>0.83058010249654324</v>
      </c>
      <c r="W429" s="1">
        <v>138.18819166191835</v>
      </c>
      <c r="X429" s="1">
        <v>0.78571696879175601</v>
      </c>
      <c r="Y429" s="1">
        <v>44.719050179211457</v>
      </c>
      <c r="Z429" s="1">
        <v>0.52643896154152636</v>
      </c>
      <c r="AA429" s="1">
        <v>93.830127384960704</v>
      </c>
      <c r="AB429" s="1">
        <v>0.69116195453801843</v>
      </c>
      <c r="AC429" s="1">
        <v>40.293286482334871</v>
      </c>
    </row>
    <row r="430" spans="1:29" x14ac:dyDescent="0.2">
      <c r="A430" s="1" t="s">
        <v>1557</v>
      </c>
      <c r="B430" s="1" t="str">
        <f t="shared" ca="1" si="6"/>
        <v>Open</v>
      </c>
      <c r="C430" s="1" t="s">
        <v>2770</v>
      </c>
      <c r="D430" s="1" t="s">
        <v>1558</v>
      </c>
      <c r="E430" s="1" t="s">
        <v>1559</v>
      </c>
      <c r="F430" s="1" t="s">
        <v>48</v>
      </c>
      <c r="G430" s="1" t="s">
        <v>1560</v>
      </c>
      <c r="H430" s="24">
        <v>45547</v>
      </c>
      <c r="I430" s="1"/>
      <c r="J430" s="1">
        <v>47.924129000000001</v>
      </c>
      <c r="K430" s="1">
        <v>106.996728</v>
      </c>
      <c r="L430" s="20">
        <v>0</v>
      </c>
      <c r="M430" s="20">
        <v>0.99930555555555556</v>
      </c>
      <c r="N430" s="1">
        <v>0.53435791485252138</v>
      </c>
      <c r="O430" s="1">
        <v>92.549221367521383</v>
      </c>
      <c r="P430" s="1">
        <v>0.48672090086200709</v>
      </c>
      <c r="Q430" s="1">
        <v>28.341337992831537</v>
      </c>
      <c r="R430" s="1">
        <v>0.51276010535042726</v>
      </c>
      <c r="S430" s="1">
        <v>70.460801519468177</v>
      </c>
      <c r="T430" s="1">
        <v>0.51549901441971335</v>
      </c>
      <c r="U430" s="1">
        <v>27.754583512544801</v>
      </c>
      <c r="V430" s="1">
        <v>0.58502319671122505</v>
      </c>
      <c r="W430" s="1">
        <v>80.484529724596399</v>
      </c>
      <c r="X430" s="1">
        <v>0.5287822850752687</v>
      </c>
      <c r="Y430" s="1">
        <v>28.771369892473121</v>
      </c>
      <c r="Z430" s="1">
        <v>0.48520681107334029</v>
      </c>
      <c r="AA430" s="1">
        <v>94.422289821289823</v>
      </c>
      <c r="AB430" s="1">
        <v>0.50805083128533024</v>
      </c>
      <c r="AC430" s="1">
        <v>25.509971582181265</v>
      </c>
    </row>
    <row r="431" spans="1:29" x14ac:dyDescent="0.2">
      <c r="A431" s="1" t="s">
        <v>2300</v>
      </c>
      <c r="B431" s="1" t="str">
        <f t="shared" ca="1" si="6"/>
        <v>Open</v>
      </c>
      <c r="C431" s="1" t="s">
        <v>2771</v>
      </c>
      <c r="D431" s="1" t="s">
        <v>2301</v>
      </c>
      <c r="E431" s="1" t="s">
        <v>2302</v>
      </c>
      <c r="F431" s="1" t="s">
        <v>2303</v>
      </c>
      <c r="G431" s="1" t="s">
        <v>2304</v>
      </c>
      <c r="H431" s="24">
        <v>45563</v>
      </c>
      <c r="I431" s="1"/>
      <c r="J431" s="1">
        <v>43.727702000000001</v>
      </c>
      <c r="K431" s="1">
        <v>105.572221</v>
      </c>
      <c r="L431" s="20">
        <v>0</v>
      </c>
      <c r="M431" s="20">
        <v>0.99930555555555556</v>
      </c>
      <c r="N431" s="1">
        <v>1.6249608592529408</v>
      </c>
      <c r="O431" s="1">
        <v>246.45780882352938</v>
      </c>
      <c r="P431" s="1">
        <v>1.9860126607931903</v>
      </c>
      <c r="Q431" s="1">
        <v>97.934390322580654</v>
      </c>
      <c r="R431" s="1">
        <v>1.5893209547472766</v>
      </c>
      <c r="S431" s="1">
        <v>185.05273529411761</v>
      </c>
      <c r="T431" s="1">
        <v>1.5969203715431963</v>
      </c>
      <c r="U431" s="1">
        <v>80.44786651835372</v>
      </c>
      <c r="V431" s="1">
        <v>1.5864576184311596</v>
      </c>
      <c r="W431" s="1">
        <v>195.08541811594205</v>
      </c>
      <c r="X431" s="1">
        <v>1.8504802242953406</v>
      </c>
      <c r="Y431" s="1">
        <v>90.921606810035826</v>
      </c>
      <c r="Z431" s="1">
        <v>1.3602980358614973</v>
      </c>
      <c r="AA431" s="1">
        <v>221.14117771836007</v>
      </c>
      <c r="AB431" s="1">
        <v>1.3635488428471583</v>
      </c>
      <c r="AC431" s="1">
        <v>80.778044930875595</v>
      </c>
    </row>
    <row r="432" spans="1:29" x14ac:dyDescent="0.2">
      <c r="A432" s="1" t="s">
        <v>2305</v>
      </c>
      <c r="B432" s="1" t="str">
        <f t="shared" ca="1" si="6"/>
        <v>Open</v>
      </c>
      <c r="C432" s="1" t="s">
        <v>2771</v>
      </c>
      <c r="D432" s="1" t="s">
        <v>2306</v>
      </c>
      <c r="E432" s="1" t="s">
        <v>2307</v>
      </c>
      <c r="F432" s="1" t="s">
        <v>2308</v>
      </c>
      <c r="G432" s="1" t="s">
        <v>2309</v>
      </c>
      <c r="H432" s="24">
        <v>45566</v>
      </c>
      <c r="I432" s="1"/>
      <c r="J432" s="1">
        <v>43.1987193</v>
      </c>
      <c r="K432" s="1">
        <v>107.197587</v>
      </c>
      <c r="L432" s="20">
        <v>0</v>
      </c>
      <c r="M432" s="20">
        <v>0.99930555555555556</v>
      </c>
      <c r="N432" s="1">
        <v>0.80380849437799551</v>
      </c>
      <c r="O432" s="1">
        <v>126.9372265795207</v>
      </c>
      <c r="P432" s="1">
        <v>2.3303638138154121</v>
      </c>
      <c r="Q432" s="1">
        <v>72.1028107526882</v>
      </c>
      <c r="R432" s="1">
        <v>0.90073139801620361</v>
      </c>
      <c r="S432" s="1">
        <v>100.81467824074076</v>
      </c>
      <c r="T432" s="1">
        <v>1.9593240239681009</v>
      </c>
      <c r="U432" s="1">
        <v>69.67019354838709</v>
      </c>
      <c r="V432" s="1">
        <v>0.98398215175601333</v>
      </c>
      <c r="W432" s="1">
        <v>108.4542062039156</v>
      </c>
      <c r="X432" s="1">
        <v>1.5670525884419355</v>
      </c>
      <c r="Y432" s="1">
        <v>59.204206451612897</v>
      </c>
      <c r="Z432" s="1">
        <v>0.71126517865175443</v>
      </c>
      <c r="AA432" s="1">
        <v>107.57305794633641</v>
      </c>
      <c r="AB432" s="1">
        <v>2.9296057560483866</v>
      </c>
      <c r="AC432" s="1">
        <v>77.675062980030745</v>
      </c>
    </row>
    <row r="433" spans="1:29" x14ac:dyDescent="0.2">
      <c r="A433" s="1" t="s">
        <v>2310</v>
      </c>
      <c r="B433" s="1" t="str">
        <f t="shared" ca="1" si="6"/>
        <v>Closed</v>
      </c>
      <c r="C433" s="1" t="s">
        <v>2771</v>
      </c>
      <c r="D433" s="1" t="s">
        <v>2311</v>
      </c>
      <c r="E433" s="1" t="s">
        <v>2312</v>
      </c>
      <c r="F433" s="1" t="s">
        <v>2313</v>
      </c>
      <c r="G433" s="1" t="s">
        <v>2675</v>
      </c>
      <c r="H433" s="24">
        <v>45565</v>
      </c>
      <c r="I433" s="24">
        <v>45779</v>
      </c>
      <c r="J433" s="1">
        <v>48.814015099999999</v>
      </c>
      <c r="K433" s="1">
        <v>103.533766</v>
      </c>
      <c r="L433" s="20">
        <v>0</v>
      </c>
      <c r="M433" s="20">
        <v>0.99930555555555556</v>
      </c>
      <c r="N433" s="1">
        <v>0.73639092957822683</v>
      </c>
      <c r="O433" s="1">
        <v>120.83034189340572</v>
      </c>
      <c r="P433" s="1">
        <v>1.0305683280225519</v>
      </c>
      <c r="Q433" s="1">
        <v>50.741335744455974</v>
      </c>
      <c r="R433" s="1">
        <v>0.6547638639725073</v>
      </c>
      <c r="S433" s="1">
        <v>93.22980199758824</v>
      </c>
      <c r="T433" s="1">
        <v>0.73963518853808774</v>
      </c>
      <c r="U433" s="1">
        <v>48.70851244937915</v>
      </c>
      <c r="V433" s="1">
        <v>0.92053739661526512</v>
      </c>
      <c r="W433" s="1">
        <v>133.18199833686319</v>
      </c>
      <c r="X433" s="1">
        <v>1.0622171211785376</v>
      </c>
      <c r="Y433" s="1">
        <v>52.728527320208435</v>
      </c>
      <c r="Z433" s="1">
        <v>0.61668712407906823</v>
      </c>
      <c r="AA433" s="1">
        <v>111.42882484304808</v>
      </c>
      <c r="AB433" s="1">
        <v>0.75426453629546997</v>
      </c>
      <c r="AC433" s="1">
        <v>41.5584292989384</v>
      </c>
    </row>
    <row r="434" spans="1:29" x14ac:dyDescent="0.2">
      <c r="A434" s="1" t="s">
        <v>2314</v>
      </c>
      <c r="B434" s="1" t="str">
        <f t="shared" ca="1" si="6"/>
        <v>Open</v>
      </c>
      <c r="C434" s="1" t="s">
        <v>2771</v>
      </c>
      <c r="D434" s="1" t="s">
        <v>2315</v>
      </c>
      <c r="E434" s="1" t="s">
        <v>2316</v>
      </c>
      <c r="F434" s="1" t="s">
        <v>2237</v>
      </c>
      <c r="G434" s="1" t="s">
        <v>2317</v>
      </c>
      <c r="H434" s="24">
        <v>45565</v>
      </c>
      <c r="I434" s="1"/>
      <c r="J434" s="1">
        <v>47.322009999999999</v>
      </c>
      <c r="K434" s="1">
        <v>110.65723</v>
      </c>
      <c r="L434" s="20">
        <v>0</v>
      </c>
      <c r="M434" s="20">
        <v>0.99930555555555556</v>
      </c>
      <c r="N434" s="1">
        <v>0.62221096014974941</v>
      </c>
      <c r="O434" s="1">
        <v>94.790099122807035</v>
      </c>
      <c r="P434" s="1">
        <v>0.56598708544336918</v>
      </c>
      <c r="Q434" s="1">
        <v>39.582882795698929</v>
      </c>
      <c r="R434" s="1">
        <v>0.68239488076084653</v>
      </c>
      <c r="S434" s="1">
        <v>87.938371164021177</v>
      </c>
      <c r="T434" s="1">
        <v>0.65634865215164984</v>
      </c>
      <c r="U434" s="1">
        <v>47.949320726733411</v>
      </c>
      <c r="V434" s="1">
        <v>0.57629513960892564</v>
      </c>
      <c r="W434" s="1">
        <v>71.624861973775012</v>
      </c>
      <c r="X434" s="1">
        <v>0.56793122316065014</v>
      </c>
      <c r="Y434" s="1">
        <v>39.000890092165896</v>
      </c>
      <c r="Z434" s="1">
        <v>0.51769538439494944</v>
      </c>
      <c r="AA434" s="1">
        <v>72.972804545454537</v>
      </c>
      <c r="AB434" s="1">
        <v>0.56520114500652829</v>
      </c>
      <c r="AC434" s="1">
        <v>37.594959677419347</v>
      </c>
    </row>
    <row r="435" spans="1:29" x14ac:dyDescent="0.2">
      <c r="A435" s="1" t="s">
        <v>2318</v>
      </c>
      <c r="B435" s="1" t="str">
        <f t="shared" ca="1" si="6"/>
        <v>Open</v>
      </c>
      <c r="C435" s="1" t="s">
        <v>2771</v>
      </c>
      <c r="D435" s="1" t="s">
        <v>2319</v>
      </c>
      <c r="E435" s="1" t="s">
        <v>2320</v>
      </c>
      <c r="F435" s="1" t="s">
        <v>2321</v>
      </c>
      <c r="G435" s="1" t="s">
        <v>2322</v>
      </c>
      <c r="H435" s="24">
        <v>45565</v>
      </c>
      <c r="I435" s="1"/>
      <c r="J435" s="1">
        <v>46.268312700000003</v>
      </c>
      <c r="K435" s="1">
        <v>102.77175200000001</v>
      </c>
      <c r="L435" s="20">
        <v>0</v>
      </c>
      <c r="M435" s="20">
        <v>0.99930555555555556</v>
      </c>
      <c r="N435" s="1">
        <v>0.64951476794771246</v>
      </c>
      <c r="O435" s="1">
        <v>90.780454248366013</v>
      </c>
      <c r="P435" s="1">
        <v>0.69481946835591391</v>
      </c>
      <c r="Q435" s="1">
        <v>43.386793548387089</v>
      </c>
      <c r="R435" s="1">
        <v>0.59502552125146202</v>
      </c>
      <c r="S435" s="1">
        <v>65.732942638458894</v>
      </c>
      <c r="T435" s="1">
        <v>0.60061515873870963</v>
      </c>
      <c r="U435" s="1">
        <v>41.79794086021505</v>
      </c>
      <c r="V435" s="1">
        <v>0.70894607863063464</v>
      </c>
      <c r="W435" s="1">
        <v>77.21056975772764</v>
      </c>
      <c r="X435" s="1">
        <v>0.90745707878494619</v>
      </c>
      <c r="Y435" s="1">
        <v>52.446730824372764</v>
      </c>
      <c r="Z435" s="1">
        <v>0.67748891828424929</v>
      </c>
      <c r="AA435" s="1">
        <v>100.70207765737875</v>
      </c>
      <c r="AB435" s="1">
        <v>0.62272406721466955</v>
      </c>
      <c r="AC435" s="1">
        <v>43.937170122887871</v>
      </c>
    </row>
    <row r="436" spans="1:29" x14ac:dyDescent="0.2">
      <c r="A436" s="1" t="s">
        <v>2323</v>
      </c>
      <c r="B436" s="1" t="str">
        <f t="shared" ca="1" si="6"/>
        <v>Open</v>
      </c>
      <c r="C436" s="1" t="s">
        <v>2771</v>
      </c>
      <c r="D436" s="1" t="s">
        <v>2324</v>
      </c>
      <c r="E436" s="1" t="s">
        <v>2325</v>
      </c>
      <c r="F436" s="1" t="s">
        <v>2321</v>
      </c>
      <c r="G436" s="1" t="s">
        <v>2326</v>
      </c>
      <c r="H436" s="24">
        <v>45565</v>
      </c>
      <c r="I436" s="1"/>
      <c r="J436" s="1">
        <v>46.269961299999999</v>
      </c>
      <c r="K436" s="1">
        <v>102.793547</v>
      </c>
      <c r="L436" s="20">
        <v>0</v>
      </c>
      <c r="M436" s="20">
        <v>0.99930555555555556</v>
      </c>
      <c r="N436" s="1">
        <v>0.80621436713032557</v>
      </c>
      <c r="O436" s="1">
        <v>112.35990559732669</v>
      </c>
      <c r="P436" s="1">
        <v>0.71679002089283184</v>
      </c>
      <c r="Q436" s="1">
        <v>36.031633691756262</v>
      </c>
      <c r="R436" s="1">
        <v>0.70098604767222217</v>
      </c>
      <c r="S436" s="1">
        <v>85.345062962962956</v>
      </c>
      <c r="T436" s="1">
        <v>0.80797819204968491</v>
      </c>
      <c r="U436" s="1">
        <v>41.742377085650737</v>
      </c>
      <c r="V436" s="1">
        <v>1.0889317800972222</v>
      </c>
      <c r="W436" s="1">
        <v>126.58728801169592</v>
      </c>
      <c r="X436" s="1">
        <v>0.97817677738243713</v>
      </c>
      <c r="Y436" s="1">
        <v>57.555088530465945</v>
      </c>
      <c r="Z436" s="1">
        <v>0.87550830309968097</v>
      </c>
      <c r="AA436" s="1">
        <v>125.54422248803824</v>
      </c>
      <c r="AB436" s="1">
        <v>0.63559160254109059</v>
      </c>
      <c r="AC436" s="1">
        <v>43.936308755760365</v>
      </c>
    </row>
    <row r="437" spans="1:29" x14ac:dyDescent="0.2">
      <c r="A437" s="1" t="s">
        <v>1561</v>
      </c>
      <c r="B437" s="1" t="str">
        <f t="shared" ca="1" si="6"/>
        <v>Open</v>
      </c>
      <c r="C437" s="1" t="s">
        <v>2770</v>
      </c>
      <c r="D437" s="1" t="s">
        <v>1562</v>
      </c>
      <c r="E437" s="1" t="s">
        <v>1563</v>
      </c>
      <c r="F437" s="1" t="s">
        <v>48</v>
      </c>
      <c r="G437" s="1" t="s">
        <v>1564</v>
      </c>
      <c r="H437" s="24">
        <v>45572</v>
      </c>
      <c r="I437" s="1"/>
      <c r="J437" s="1">
        <v>47.923161</v>
      </c>
      <c r="K437" s="1">
        <v>106.974553</v>
      </c>
      <c r="L437" s="20">
        <v>0</v>
      </c>
      <c r="M437" s="20">
        <v>0.99930555555555556</v>
      </c>
      <c r="N437" s="1">
        <v>0.50923724054440644</v>
      </c>
      <c r="O437" s="1">
        <v>75.275105242165239</v>
      </c>
      <c r="P437" s="1">
        <v>1.1410147312000001</v>
      </c>
      <c r="Q437" s="1">
        <v>49.408365232974916</v>
      </c>
      <c r="R437" s="1">
        <v>0.47716631012345673</v>
      </c>
      <c r="S437" s="1">
        <v>61.617196581196588</v>
      </c>
      <c r="T437" s="1">
        <v>0.69078696183584232</v>
      </c>
      <c r="U437" s="1">
        <v>35.837374193548385</v>
      </c>
      <c r="V437" s="1">
        <v>0.5357384204578538</v>
      </c>
      <c r="W437" s="1">
        <v>66.973215384615386</v>
      </c>
      <c r="X437" s="1">
        <v>0.92857539337168449</v>
      </c>
      <c r="Y437" s="1">
        <v>43.830880645161294</v>
      </c>
      <c r="Z437" s="1">
        <v>0.41394348235802464</v>
      </c>
      <c r="AA437" s="1">
        <v>67.518568974771881</v>
      </c>
      <c r="AB437" s="1">
        <v>0.7132845840272658</v>
      </c>
      <c r="AC437" s="1">
        <v>32.879903225806459</v>
      </c>
    </row>
    <row r="438" spans="1:29" x14ac:dyDescent="0.2">
      <c r="A438" s="1" t="s">
        <v>1565</v>
      </c>
      <c r="B438" s="1" t="str">
        <f t="shared" ca="1" si="6"/>
        <v>Open</v>
      </c>
      <c r="C438" s="1" t="s">
        <v>2770</v>
      </c>
      <c r="D438" s="1" t="s">
        <v>1566</v>
      </c>
      <c r="E438" s="1" t="s">
        <v>1567</v>
      </c>
      <c r="F438" s="1" t="s">
        <v>48</v>
      </c>
      <c r="G438" s="1" t="s">
        <v>1568</v>
      </c>
      <c r="H438" s="24">
        <v>45569</v>
      </c>
      <c r="I438" s="1"/>
      <c r="J438" s="1">
        <v>47.923912000000001</v>
      </c>
      <c r="K438" s="1">
        <v>106.970356</v>
      </c>
      <c r="L438" s="20">
        <v>0</v>
      </c>
      <c r="M438" s="20">
        <v>0.99930555555555556</v>
      </c>
      <c r="N438" s="1">
        <v>0.65026758687473885</v>
      </c>
      <c r="O438" s="1">
        <v>102.71343772079773</v>
      </c>
      <c r="P438" s="1">
        <v>0.61683424457491021</v>
      </c>
      <c r="Q438" s="1">
        <v>28.866878136200707</v>
      </c>
      <c r="R438" s="1">
        <v>0.66850399567378915</v>
      </c>
      <c r="S438" s="1">
        <v>85.416253086419758</v>
      </c>
      <c r="T438" s="1">
        <v>0.51784828901326163</v>
      </c>
      <c r="U438" s="1">
        <v>27.485634050179211</v>
      </c>
      <c r="V438" s="1">
        <v>0.73500614114252638</v>
      </c>
      <c r="W438" s="1">
        <v>94.674402450142452</v>
      </c>
      <c r="X438" s="1">
        <v>0.61069452832258053</v>
      </c>
      <c r="Y438" s="1">
        <v>30.848339426523296</v>
      </c>
      <c r="Z438" s="1">
        <v>0.54163507287063883</v>
      </c>
      <c r="AA438" s="1">
        <v>94.106363929146525</v>
      </c>
      <c r="AB438" s="1">
        <v>0.44698255171274953</v>
      </c>
      <c r="AC438" s="1">
        <v>26.040325268817202</v>
      </c>
    </row>
    <row r="439" spans="1:29" x14ac:dyDescent="0.2">
      <c r="A439" s="1" t="s">
        <v>1569</v>
      </c>
      <c r="B439" s="1" t="str">
        <f t="shared" ca="1" si="6"/>
        <v>Open</v>
      </c>
      <c r="C439" s="1" t="s">
        <v>2770</v>
      </c>
      <c r="D439" s="1" t="s">
        <v>1570</v>
      </c>
      <c r="E439" s="1" t="s">
        <v>1571</v>
      </c>
      <c r="F439" s="1" t="s">
        <v>145</v>
      </c>
      <c r="G439" s="1" t="s">
        <v>1572</v>
      </c>
      <c r="H439" s="24">
        <v>45584</v>
      </c>
      <c r="I439" s="1"/>
      <c r="J439" s="1">
        <v>47.921266899999999</v>
      </c>
      <c r="K439" s="1">
        <v>106.765558</v>
      </c>
      <c r="L439" s="20">
        <v>0</v>
      </c>
      <c r="M439" s="20">
        <v>0.99930555555555556</v>
      </c>
      <c r="N439" s="1">
        <v>0.4129326912371129</v>
      </c>
      <c r="O439" s="1">
        <v>61.799215688509015</v>
      </c>
      <c r="P439" s="1">
        <v>0.79519881812222193</v>
      </c>
      <c r="Q439" s="1">
        <v>39.882098207885299</v>
      </c>
      <c r="R439" s="1">
        <v>0.46224374531576462</v>
      </c>
      <c r="S439" s="1">
        <v>59.94257834757834</v>
      </c>
      <c r="T439" s="1">
        <v>0.67396388394336915</v>
      </c>
      <c r="U439" s="1">
        <v>39.58993297491039</v>
      </c>
      <c r="V439" s="1">
        <v>0.4656051930473506</v>
      </c>
      <c r="W439" s="1">
        <v>53.767543133903132</v>
      </c>
      <c r="X439" s="1">
        <v>1.0754703970505377</v>
      </c>
      <c r="Y439" s="1">
        <v>38.328414695340491</v>
      </c>
      <c r="Z439" s="1">
        <v>0.40361168514922169</v>
      </c>
      <c r="AA439" s="1">
        <v>64.780081588835216</v>
      </c>
      <c r="AB439" s="1">
        <v>0.71236328582142872</v>
      </c>
      <c r="AC439" s="1">
        <v>41.254802611367126</v>
      </c>
    </row>
    <row r="440" spans="1:29" x14ac:dyDescent="0.2">
      <c r="A440" s="1" t="s">
        <v>1573</v>
      </c>
      <c r="B440" s="1" t="str">
        <f t="shared" ca="1" si="6"/>
        <v>Open</v>
      </c>
      <c r="C440" s="1" t="s">
        <v>2770</v>
      </c>
      <c r="D440" s="1" t="s">
        <v>1574</v>
      </c>
      <c r="E440" s="1" t="s">
        <v>1575</v>
      </c>
      <c r="F440" s="1" t="s">
        <v>28</v>
      </c>
      <c r="G440" s="1" t="s">
        <v>2676</v>
      </c>
      <c r="H440" s="24">
        <v>45590</v>
      </c>
      <c r="I440" s="1"/>
      <c r="J440" s="1">
        <v>47.914766999999998</v>
      </c>
      <c r="K440" s="1">
        <v>106.874985</v>
      </c>
      <c r="L440" s="20">
        <v>0.29166666666666669</v>
      </c>
      <c r="M440" s="20">
        <v>0.99930555555555556</v>
      </c>
      <c r="N440" s="1">
        <v>0.41739480607396007</v>
      </c>
      <c r="O440" s="1">
        <v>71.760150370370368</v>
      </c>
      <c r="P440" s="1">
        <v>0.44641705498673834</v>
      </c>
      <c r="Q440" s="1">
        <v>24.237968100358419</v>
      </c>
      <c r="R440" s="1">
        <v>0.43032999932003796</v>
      </c>
      <c r="S440" s="1">
        <v>61.498161324786317</v>
      </c>
      <c r="T440" s="1">
        <v>0.48843843358100369</v>
      </c>
      <c r="U440" s="1">
        <v>23.493334050179215</v>
      </c>
      <c r="V440" s="1">
        <v>0.41766253548241233</v>
      </c>
      <c r="W440" s="1">
        <v>62.956797511870839</v>
      </c>
      <c r="X440" s="1">
        <v>0.46873268560788528</v>
      </c>
      <c r="Y440" s="1">
        <v>25.110754838709671</v>
      </c>
      <c r="Z440" s="1">
        <v>0.31966049022920029</v>
      </c>
      <c r="AA440" s="1">
        <v>57.328064412238312</v>
      </c>
      <c r="AB440" s="1">
        <v>0.29992181649116745</v>
      </c>
      <c r="AC440" s="1">
        <v>20.961279185867898</v>
      </c>
    </row>
    <row r="441" spans="1:29" x14ac:dyDescent="0.2">
      <c r="A441" s="1" t="s">
        <v>1576</v>
      </c>
      <c r="B441" s="1" t="str">
        <f t="shared" ca="1" si="6"/>
        <v>Open</v>
      </c>
      <c r="C441" s="1" t="s">
        <v>2770</v>
      </c>
      <c r="D441" s="1" t="s">
        <v>1577</v>
      </c>
      <c r="E441" s="1" t="s">
        <v>1578</v>
      </c>
      <c r="F441" s="1" t="s">
        <v>64</v>
      </c>
      <c r="G441" s="1" t="s">
        <v>1579</v>
      </c>
      <c r="H441" s="24">
        <v>45582</v>
      </c>
      <c r="I441" s="1"/>
      <c r="J441" s="1">
        <v>47.886612</v>
      </c>
      <c r="K441" s="1">
        <v>106.91915899999999</v>
      </c>
      <c r="L441" s="20">
        <v>0</v>
      </c>
      <c r="M441" s="20">
        <v>0.99930555555555556</v>
      </c>
      <c r="N441" s="1">
        <v>1.3202730789445374</v>
      </c>
      <c r="O441" s="1">
        <v>197.35600557413602</v>
      </c>
      <c r="P441" s="1">
        <v>4.3862275994155189</v>
      </c>
      <c r="Q441" s="1">
        <v>81.871625837742513</v>
      </c>
      <c r="R441" s="1">
        <v>1.1887427609046153</v>
      </c>
      <c r="S441" s="1">
        <v>143.13022564102565</v>
      </c>
      <c r="T441" s="1">
        <v>2.2190428245000002</v>
      </c>
      <c r="U441" s="1">
        <v>71.662097530864216</v>
      </c>
      <c r="V441" s="1">
        <v>1.0636405248986516</v>
      </c>
      <c r="W441" s="1">
        <v>140.8284737132004</v>
      </c>
      <c r="X441" s="1">
        <v>3.7328134252666678</v>
      </c>
      <c r="Y441" s="1">
        <v>64.783122222222232</v>
      </c>
      <c r="Z441" s="1">
        <v>1.082343298057971</v>
      </c>
      <c r="AA441" s="1">
        <v>177.8991975308642</v>
      </c>
      <c r="AB441" s="1">
        <v>2.8368982099139788</v>
      </c>
      <c r="AC441" s="1">
        <v>78.605004608294919</v>
      </c>
    </row>
    <row r="442" spans="1:29" x14ac:dyDescent="0.2">
      <c r="A442" s="1" t="s">
        <v>1580</v>
      </c>
      <c r="B442" s="1" t="str">
        <f t="shared" ca="1" si="6"/>
        <v>Open</v>
      </c>
      <c r="C442" s="1" t="s">
        <v>2770</v>
      </c>
      <c r="D442" s="1" t="s">
        <v>1581</v>
      </c>
      <c r="E442" s="1" t="s">
        <v>1582</v>
      </c>
      <c r="F442" s="1" t="s">
        <v>145</v>
      </c>
      <c r="G442" s="1" t="s">
        <v>1583</v>
      </c>
      <c r="H442" s="24">
        <v>45589</v>
      </c>
      <c r="I442" s="1"/>
      <c r="J442" s="1">
        <v>47.911436999999999</v>
      </c>
      <c r="K442" s="1">
        <v>106.736639</v>
      </c>
      <c r="L442" s="20">
        <v>0</v>
      </c>
      <c r="M442" s="20">
        <v>0.99930555555555556</v>
      </c>
      <c r="N442" s="1">
        <v>0.43873546219086412</v>
      </c>
      <c r="O442" s="1">
        <v>58.983561861348527</v>
      </c>
      <c r="P442" s="1">
        <v>0.66409208337885295</v>
      </c>
      <c r="Q442" s="1">
        <v>36.44450430107527</v>
      </c>
      <c r="R442" s="1">
        <v>0.42388373068328583</v>
      </c>
      <c r="S442" s="1">
        <v>54.087007597340936</v>
      </c>
      <c r="T442" s="1">
        <v>0.45891875971397855</v>
      </c>
      <c r="U442" s="1">
        <v>31.194107168458771</v>
      </c>
      <c r="V442" s="1">
        <v>0.56517610130070284</v>
      </c>
      <c r="W442" s="1">
        <v>70.084698727445414</v>
      </c>
      <c r="X442" s="1">
        <v>0.64904614758172074</v>
      </c>
      <c r="Y442" s="1">
        <v>32.744513261648741</v>
      </c>
      <c r="Z442" s="1">
        <v>0.37999489923993551</v>
      </c>
      <c r="AA442" s="1">
        <v>54.919593666129892</v>
      </c>
      <c r="AB442" s="1">
        <v>0.47492397628379407</v>
      </c>
      <c r="AC442" s="1">
        <v>32.359870967741934</v>
      </c>
    </row>
    <row r="443" spans="1:29" x14ac:dyDescent="0.2">
      <c r="A443" s="1" t="s">
        <v>1584</v>
      </c>
      <c r="B443" s="1" t="str">
        <f t="shared" ca="1" si="6"/>
        <v>Open</v>
      </c>
      <c r="C443" s="1" t="s">
        <v>2770</v>
      </c>
      <c r="D443" s="1" t="s">
        <v>1585</v>
      </c>
      <c r="E443" s="1" t="s">
        <v>1586</v>
      </c>
      <c r="F443" s="1" t="s">
        <v>48</v>
      </c>
      <c r="G443" s="1" t="s">
        <v>1587</v>
      </c>
      <c r="H443" s="24">
        <v>45589</v>
      </c>
      <c r="I443" s="1"/>
      <c r="J443" s="1">
        <v>47.888432299999998</v>
      </c>
      <c r="K443" s="1">
        <v>107.06643699999999</v>
      </c>
      <c r="L443" s="20">
        <v>0</v>
      </c>
      <c r="M443" s="20">
        <v>0.99930555555555556</v>
      </c>
      <c r="N443" s="1">
        <v>0.6405341706849762</v>
      </c>
      <c r="O443" s="1">
        <v>111.14729716999052</v>
      </c>
      <c r="P443" s="1">
        <v>0.56782596494982085</v>
      </c>
      <c r="Q443" s="1">
        <v>30.731975268817198</v>
      </c>
      <c r="R443" s="1">
        <v>0.64029691392830002</v>
      </c>
      <c r="S443" s="1">
        <v>91.269392212725549</v>
      </c>
      <c r="T443" s="1">
        <v>0.45526348711254477</v>
      </c>
      <c r="U443" s="1">
        <v>28.116295698924731</v>
      </c>
      <c r="V443" s="1">
        <v>1.0306559248812723</v>
      </c>
      <c r="W443" s="1">
        <v>141.29535010446344</v>
      </c>
      <c r="X443" s="1">
        <v>0.77617967356021511</v>
      </c>
      <c r="Y443" s="1">
        <v>47.872962007168461</v>
      </c>
      <c r="Z443" s="1">
        <v>0.45353380680354261</v>
      </c>
      <c r="AA443" s="1">
        <v>87.18995276435858</v>
      </c>
      <c r="AB443" s="1">
        <v>0.385672129654762</v>
      </c>
      <c r="AC443" s="1">
        <v>22.747487327188939</v>
      </c>
    </row>
    <row r="444" spans="1:29" x14ac:dyDescent="0.2">
      <c r="A444" s="1" t="s">
        <v>2327</v>
      </c>
      <c r="B444" s="1" t="str">
        <f t="shared" ca="1" si="6"/>
        <v>Open</v>
      </c>
      <c r="C444" s="1" t="s">
        <v>2771</v>
      </c>
      <c r="D444" s="1" t="s">
        <v>2328</v>
      </c>
      <c r="E444" s="1" t="s">
        <v>2329</v>
      </c>
      <c r="F444" s="1" t="s">
        <v>2313</v>
      </c>
      <c r="G444" s="1" t="s">
        <v>2330</v>
      </c>
      <c r="H444" s="24">
        <v>45590</v>
      </c>
      <c r="I444" s="1"/>
      <c r="J444" s="1">
        <v>48.817695999999998</v>
      </c>
      <c r="K444" s="1">
        <v>103.524542</v>
      </c>
      <c r="L444" s="20">
        <v>0</v>
      </c>
      <c r="M444" s="20">
        <v>0.99930555555555556</v>
      </c>
      <c r="N444" s="1">
        <v>0.66793360806705648</v>
      </c>
      <c r="O444" s="1">
        <v>96.235783040935686</v>
      </c>
      <c r="P444" s="1">
        <v>1.1396911884586618</v>
      </c>
      <c r="Q444" s="1">
        <v>79.63950223018719</v>
      </c>
      <c r="R444" s="1">
        <v>0.57083920525633525</v>
      </c>
      <c r="S444" s="1">
        <v>84.958833820662761</v>
      </c>
      <c r="T444" s="1">
        <v>0.70118790236845863</v>
      </c>
      <c r="U444" s="1">
        <v>53.367084587813622</v>
      </c>
      <c r="V444" s="1">
        <v>1.1376652256030704</v>
      </c>
      <c r="W444" s="1">
        <v>174.56177729044836</v>
      </c>
      <c r="X444" s="1">
        <v>0.92863068983369168</v>
      </c>
      <c r="Y444" s="1">
        <v>59.54673082437273</v>
      </c>
      <c r="Z444" s="1">
        <v>0.58087831952960522</v>
      </c>
      <c r="AA444" s="1">
        <v>96.457198464912267</v>
      </c>
      <c r="AB444" s="1">
        <v>0.82234826544124406</v>
      </c>
      <c r="AC444" s="1">
        <v>56.200499615975424</v>
      </c>
    </row>
    <row r="445" spans="1:29" x14ac:dyDescent="0.2">
      <c r="A445" s="1" t="s">
        <v>2331</v>
      </c>
      <c r="B445" s="1" t="str">
        <f t="shared" ca="1" si="6"/>
        <v>Open</v>
      </c>
      <c r="C445" s="1" t="s">
        <v>2771</v>
      </c>
      <c r="D445" s="1" t="s">
        <v>2332</v>
      </c>
      <c r="E445" s="1" t="s">
        <v>2333</v>
      </c>
      <c r="F445" s="1" t="s">
        <v>2334</v>
      </c>
      <c r="G445" s="1" t="s">
        <v>2677</v>
      </c>
      <c r="H445" s="24">
        <v>45590</v>
      </c>
      <c r="I445" s="1"/>
      <c r="J445" s="1">
        <v>47.474413699999999</v>
      </c>
      <c r="K445" s="1">
        <v>101.45581</v>
      </c>
      <c r="L445" s="20">
        <v>0</v>
      </c>
      <c r="M445" s="20">
        <v>0.99930555555555556</v>
      </c>
      <c r="N445" s="1">
        <v>0.59001746395734112</v>
      </c>
      <c r="O445" s="1">
        <v>85.738269841269826</v>
      </c>
      <c r="P445" s="1">
        <v>0.82871426490071676</v>
      </c>
      <c r="Q445" s="1">
        <v>55.254982437275999</v>
      </c>
      <c r="R445" s="1">
        <v>0.48495853043518516</v>
      </c>
      <c r="S445" s="1">
        <v>65.221677582845999</v>
      </c>
      <c r="T445" s="1">
        <v>0.64646882829103924</v>
      </c>
      <c r="U445" s="1">
        <v>35.195889605734763</v>
      </c>
      <c r="V445" s="1">
        <v>0.73174274799821737</v>
      </c>
      <c r="W445" s="1">
        <v>105.9435460784314</v>
      </c>
      <c r="X445" s="1">
        <v>0.82529910886917568</v>
      </c>
      <c r="Y445" s="1">
        <v>47.163825806451619</v>
      </c>
      <c r="Z445" s="1">
        <v>0.42832282632947122</v>
      </c>
      <c r="AA445" s="1">
        <v>72.140171222024165</v>
      </c>
      <c r="AB445" s="1">
        <v>0.61037183506912429</v>
      </c>
      <c r="AC445" s="1">
        <v>34.678110983102918</v>
      </c>
    </row>
    <row r="446" spans="1:29" x14ac:dyDescent="0.2">
      <c r="A446" s="1" t="s">
        <v>1588</v>
      </c>
      <c r="B446" s="1" t="str">
        <f t="shared" ca="1" si="6"/>
        <v>Open</v>
      </c>
      <c r="C446" s="1" t="s">
        <v>2770</v>
      </c>
      <c r="D446" s="1" t="s">
        <v>1589</v>
      </c>
      <c r="E446" s="1" t="s">
        <v>1590</v>
      </c>
      <c r="F446" s="1" t="s">
        <v>841</v>
      </c>
      <c r="G446" s="1" t="s">
        <v>1591</v>
      </c>
      <c r="H446" s="24">
        <v>45596</v>
      </c>
      <c r="I446" s="1"/>
      <c r="J446" s="1">
        <v>47.767441400000003</v>
      </c>
      <c r="K446" s="1">
        <v>107.246104</v>
      </c>
      <c r="L446" s="20">
        <v>0</v>
      </c>
      <c r="M446" s="20">
        <v>0.99930555555555556</v>
      </c>
      <c r="N446" s="1">
        <v>0.6173835020192594</v>
      </c>
      <c r="O446" s="1">
        <v>103.26841899335233</v>
      </c>
      <c r="P446" s="1">
        <v>0.85909888055698935</v>
      </c>
      <c r="Q446" s="1">
        <v>50.822888530465953</v>
      </c>
      <c r="R446" s="1">
        <v>0.58785826898605875</v>
      </c>
      <c r="S446" s="1">
        <v>97.50471709401711</v>
      </c>
      <c r="T446" s="1">
        <v>0.94117203671863781</v>
      </c>
      <c r="U446" s="1">
        <v>50.388567025089593</v>
      </c>
      <c r="V446" s="1">
        <v>0.56535435690011393</v>
      </c>
      <c r="W446" s="1">
        <v>80.786040702754022</v>
      </c>
      <c r="X446" s="1">
        <v>0.82415352356507243</v>
      </c>
      <c r="Y446" s="1">
        <v>46.66554505005562</v>
      </c>
      <c r="Z446" s="1">
        <v>0.55301576272034347</v>
      </c>
      <c r="AA446" s="1">
        <v>108.9180021470746</v>
      </c>
      <c r="AB446" s="1">
        <v>0.56500885940552992</v>
      </c>
      <c r="AC446" s="1">
        <v>41.856286098310285</v>
      </c>
    </row>
    <row r="447" spans="1:29" x14ac:dyDescent="0.2">
      <c r="A447" s="1" t="s">
        <v>1592</v>
      </c>
      <c r="B447" s="1" t="str">
        <f t="shared" ca="1" si="6"/>
        <v>Open</v>
      </c>
      <c r="C447" s="1" t="s">
        <v>2770</v>
      </c>
      <c r="D447" s="1" t="s">
        <v>1593</v>
      </c>
      <c r="E447" s="1" t="s">
        <v>1594</v>
      </c>
      <c r="F447" s="1" t="s">
        <v>145</v>
      </c>
      <c r="G447" s="1" t="s">
        <v>2678</v>
      </c>
      <c r="H447" s="24">
        <v>45591</v>
      </c>
      <c r="I447" s="1"/>
      <c r="J447" s="1">
        <v>47.935618099999999</v>
      </c>
      <c r="K447" s="1">
        <v>106.682348</v>
      </c>
      <c r="L447" s="20">
        <v>0</v>
      </c>
      <c r="M447" s="20">
        <v>0.99930555555555556</v>
      </c>
      <c r="N447" s="1">
        <v>0.41996638020148147</v>
      </c>
      <c r="O447" s="1">
        <v>65.489600550807211</v>
      </c>
      <c r="P447" s="1">
        <v>0.66149329860824357</v>
      </c>
      <c r="Q447" s="1">
        <v>33.813385663082435</v>
      </c>
      <c r="R447" s="1">
        <v>0.45228963843589742</v>
      </c>
      <c r="S447" s="1">
        <v>65.26180769230767</v>
      </c>
      <c r="T447" s="1">
        <v>0.50001316710501797</v>
      </c>
      <c r="U447" s="1">
        <v>27.183113978494617</v>
      </c>
      <c r="V447" s="1">
        <v>0.55270907834518523</v>
      </c>
      <c r="W447" s="1">
        <v>70.198905185185183</v>
      </c>
      <c r="X447" s="1">
        <v>0.65732153600573473</v>
      </c>
      <c r="Y447" s="1">
        <v>34.512971326164866</v>
      </c>
      <c r="Z447" s="1">
        <v>0.40281934926999458</v>
      </c>
      <c r="AA447" s="1">
        <v>75.342346752549645</v>
      </c>
      <c r="AB447" s="1">
        <v>0.44425872032935082</v>
      </c>
      <c r="AC447" s="1">
        <v>28.593980485862204</v>
      </c>
    </row>
    <row r="448" spans="1:29" x14ac:dyDescent="0.2">
      <c r="A448" s="1" t="s">
        <v>2335</v>
      </c>
      <c r="B448" s="1" t="str">
        <f t="shared" ca="1" si="6"/>
        <v>Open</v>
      </c>
      <c r="C448" s="1" t="s">
        <v>2771</v>
      </c>
      <c r="D448" s="1" t="s">
        <v>2336</v>
      </c>
      <c r="E448" s="1" t="s">
        <v>2337</v>
      </c>
      <c r="F448" s="1" t="s">
        <v>2285</v>
      </c>
      <c r="G448" s="1" t="s">
        <v>2338</v>
      </c>
      <c r="H448" s="24">
        <v>45611</v>
      </c>
      <c r="I448" s="1"/>
      <c r="J448" s="1">
        <v>43.569708300000002</v>
      </c>
      <c r="K448" s="1">
        <v>104.41492</v>
      </c>
      <c r="L448" s="20">
        <v>0</v>
      </c>
      <c r="M448" s="20">
        <v>0.99930555555555556</v>
      </c>
      <c r="N448" s="1">
        <v>0.6467228294736842</v>
      </c>
      <c r="O448" s="1">
        <v>78.653414035087721</v>
      </c>
      <c r="P448" s="1">
        <v>0.50506926764086024</v>
      </c>
      <c r="Q448" s="1">
        <v>37.142959856630831</v>
      </c>
      <c r="R448" s="1">
        <v>0.5594206772337964</v>
      </c>
      <c r="S448" s="1">
        <v>63.399916666666662</v>
      </c>
      <c r="T448" s="1">
        <v>0.41682941625627229</v>
      </c>
      <c r="U448" s="1">
        <v>31.240312544802865</v>
      </c>
      <c r="V448" s="1">
        <v>0.70578709674074069</v>
      </c>
      <c r="W448" s="1">
        <v>74.308703703703713</v>
      </c>
      <c r="X448" s="1">
        <v>0.58776501898571432</v>
      </c>
      <c r="Y448" s="1">
        <v>37.118334126984131</v>
      </c>
      <c r="Z448" s="1">
        <v>0.49208221887777781</v>
      </c>
      <c r="AA448" s="1">
        <v>71.458522222222214</v>
      </c>
      <c r="AB448" s="1">
        <v>0.44446825675115198</v>
      </c>
      <c r="AC448" s="1">
        <v>36.48829877112135</v>
      </c>
    </row>
    <row r="449" spans="1:29" x14ac:dyDescent="0.2">
      <c r="A449" s="1" t="s">
        <v>2339</v>
      </c>
      <c r="B449" s="1" t="str">
        <f t="shared" ca="1" si="6"/>
        <v>Open</v>
      </c>
      <c r="C449" s="1" t="s">
        <v>2771</v>
      </c>
      <c r="D449" s="1" t="s">
        <v>2340</v>
      </c>
      <c r="E449" s="1" t="s">
        <v>2341</v>
      </c>
      <c r="F449" s="1" t="s">
        <v>2285</v>
      </c>
      <c r="G449" s="1" t="s">
        <v>2342</v>
      </c>
      <c r="H449" s="24">
        <v>45611</v>
      </c>
      <c r="I449" s="1"/>
      <c r="J449" s="1">
        <v>43.577759</v>
      </c>
      <c r="K449" s="1">
        <v>104.423734</v>
      </c>
      <c r="L449" s="20">
        <v>0</v>
      </c>
      <c r="M449" s="20">
        <v>0.99930555555555556</v>
      </c>
      <c r="N449" s="1">
        <v>0.82659910053680796</v>
      </c>
      <c r="O449" s="1">
        <v>112.71697609219127</v>
      </c>
      <c r="P449" s="1">
        <v>1.2428327012738352</v>
      </c>
      <c r="Q449" s="1">
        <v>64.93485232974912</v>
      </c>
      <c r="R449" s="1">
        <v>0.68062758767719289</v>
      </c>
      <c r="S449" s="1">
        <v>87.942173976608174</v>
      </c>
      <c r="T449" s="1">
        <v>0.91191930247956987</v>
      </c>
      <c r="U449" s="1">
        <v>60.536640143369176</v>
      </c>
      <c r="V449" s="1">
        <v>0.8546882690518518</v>
      </c>
      <c r="W449" s="1">
        <v>97.466858624338627</v>
      </c>
      <c r="X449" s="1">
        <v>1.0789972144749103</v>
      </c>
      <c r="Y449" s="1">
        <v>61.048811469534037</v>
      </c>
      <c r="Z449" s="1">
        <v>0.59745486818492066</v>
      </c>
      <c r="AA449" s="1">
        <v>80.759990211640215</v>
      </c>
      <c r="AB449" s="1">
        <v>0.83065410003533025</v>
      </c>
      <c r="AC449" s="1">
        <v>51.607847542242695</v>
      </c>
    </row>
    <row r="450" spans="1:29" x14ac:dyDescent="0.2">
      <c r="A450" s="1" t="s">
        <v>2343</v>
      </c>
      <c r="B450" s="1" t="str">
        <f t="shared" ca="1" si="6"/>
        <v>Open</v>
      </c>
      <c r="C450" s="1" t="s">
        <v>2771</v>
      </c>
      <c r="D450" s="1" t="s">
        <v>2344</v>
      </c>
      <c r="E450" s="1" t="s">
        <v>2345</v>
      </c>
      <c r="F450" s="1" t="s">
        <v>2346</v>
      </c>
      <c r="G450" s="1" t="s">
        <v>2347</v>
      </c>
      <c r="H450" s="24">
        <v>45618</v>
      </c>
      <c r="I450" s="1"/>
      <c r="J450" s="1">
        <v>49.021197999999998</v>
      </c>
      <c r="K450" s="1">
        <v>104.012477</v>
      </c>
      <c r="L450" s="20">
        <v>0</v>
      </c>
      <c r="M450" s="20">
        <v>0.99930555555555556</v>
      </c>
      <c r="N450" s="1">
        <v>0.36345323811340502</v>
      </c>
      <c r="O450" s="1">
        <v>69.995442496229273</v>
      </c>
      <c r="P450" s="1">
        <v>0.42948665689187565</v>
      </c>
      <c r="Q450" s="1">
        <v>22.184268737554763</v>
      </c>
      <c r="R450" s="1">
        <v>0.43368078616029065</v>
      </c>
      <c r="S450" s="1">
        <v>70.087108464323364</v>
      </c>
      <c r="T450" s="1">
        <v>0.2970307634175009</v>
      </c>
      <c r="U450" s="1">
        <v>12.182879001359536</v>
      </c>
      <c r="V450" s="1">
        <v>0.44463740503921573</v>
      </c>
      <c r="W450" s="1">
        <v>66.971824618736392</v>
      </c>
      <c r="X450" s="1">
        <v>0.32860511877471266</v>
      </c>
      <c r="Y450" s="1">
        <v>18.756741947843288</v>
      </c>
      <c r="Z450" s="1">
        <v>0.24040797928235294</v>
      </c>
      <c r="AA450" s="1">
        <v>63.451559477124192</v>
      </c>
      <c r="AB450" s="1">
        <v>0.34953240707447225</v>
      </c>
      <c r="AC450" s="1">
        <v>16.777253683791319</v>
      </c>
    </row>
    <row r="451" spans="1:29" x14ac:dyDescent="0.2">
      <c r="A451" s="1" t="s">
        <v>1595</v>
      </c>
      <c r="B451" s="1" t="str">
        <f t="shared" ca="1" si="6"/>
        <v>Open</v>
      </c>
      <c r="C451" s="1" t="s">
        <v>2770</v>
      </c>
      <c r="D451" s="1" t="s">
        <v>1596</v>
      </c>
      <c r="E451" s="1" t="s">
        <v>1597</v>
      </c>
      <c r="F451" s="1" t="s">
        <v>64</v>
      </c>
      <c r="G451" s="1" t="s">
        <v>1598</v>
      </c>
      <c r="H451" s="24">
        <v>45621</v>
      </c>
      <c r="I451" s="1"/>
      <c r="J451" s="1">
        <v>47.865090000000002</v>
      </c>
      <c r="K451" s="1">
        <v>106.80732999999999</v>
      </c>
      <c r="L451" s="20">
        <v>0</v>
      </c>
      <c r="M451" s="20">
        <v>0.99930555555555556</v>
      </c>
      <c r="N451" s="1">
        <v>0.89557058139923029</v>
      </c>
      <c r="O451" s="1">
        <v>144.35465223665221</v>
      </c>
      <c r="P451" s="1">
        <v>1.0811703641009636</v>
      </c>
      <c r="Q451" s="1">
        <v>47.696428735632175</v>
      </c>
      <c r="R451" s="1">
        <v>0.83627584056500004</v>
      </c>
      <c r="S451" s="1">
        <v>113.11105614379086</v>
      </c>
      <c r="T451" s="1">
        <v>0.83646225129462382</v>
      </c>
      <c r="U451" s="1">
        <v>40.929816487455192</v>
      </c>
      <c r="V451" s="1">
        <v>1.0637650618609384</v>
      </c>
      <c r="W451" s="1">
        <v>134.21257936507934</v>
      </c>
      <c r="X451" s="1">
        <v>1.0301971670289209</v>
      </c>
      <c r="Y451" s="1">
        <v>46.943855024100863</v>
      </c>
      <c r="Z451" s="1">
        <v>0.68080271641768864</v>
      </c>
      <c r="AA451" s="1">
        <v>103.37217224080268</v>
      </c>
      <c r="AB451" s="1">
        <v>0.67890092743241193</v>
      </c>
      <c r="AC451" s="1">
        <v>36.495622119815664</v>
      </c>
    </row>
    <row r="452" spans="1:29" x14ac:dyDescent="0.2">
      <c r="A452" s="1" t="s">
        <v>1599</v>
      </c>
      <c r="B452" s="1" t="str">
        <f t="shared" ref="B452:B515" ca="1" si="7">IF(AND(NOT(ISBLANK(I452)), I452 &lt;= TODAY()), "Closed", IF(H452 &gt; TODAY(), "Will open in future", "Open"))</f>
        <v>Open</v>
      </c>
      <c r="C452" s="1" t="s">
        <v>2770</v>
      </c>
      <c r="D452" s="1" t="s">
        <v>1600</v>
      </c>
      <c r="E452" s="1" t="s">
        <v>1601</v>
      </c>
      <c r="F452" s="1" t="s">
        <v>145</v>
      </c>
      <c r="G452" s="1" t="s">
        <v>2679</v>
      </c>
      <c r="H452" s="24">
        <v>45631</v>
      </c>
      <c r="I452" s="1"/>
      <c r="J452" s="1">
        <v>47.911686000000003</v>
      </c>
      <c r="K452" s="1">
        <v>106.82935500000001</v>
      </c>
      <c r="L452" s="20">
        <v>0</v>
      </c>
      <c r="M452" s="20">
        <v>0.99930555555555556</v>
      </c>
      <c r="N452" s="1">
        <v>0.32135823041283945</v>
      </c>
      <c r="O452" s="1">
        <v>51.18031105413106</v>
      </c>
      <c r="P452" s="1">
        <v>0.48654978230489426</v>
      </c>
      <c r="Q452" s="1">
        <v>26.04310924483995</v>
      </c>
      <c r="R452" s="1">
        <v>0.35012392764577394</v>
      </c>
      <c r="S452" s="1">
        <v>56.766073599240258</v>
      </c>
      <c r="T452" s="1">
        <v>0.5227090427448029</v>
      </c>
      <c r="U452" s="1">
        <v>32.066507526881715</v>
      </c>
      <c r="V452" s="1">
        <v>0.43359880388917377</v>
      </c>
      <c r="W452" s="1">
        <v>59.028666628679957</v>
      </c>
      <c r="X452" s="1">
        <v>0.59182012919211469</v>
      </c>
      <c r="Y452" s="1">
        <v>32.226823655913982</v>
      </c>
      <c r="Z452" s="1">
        <v>0.28170823958185714</v>
      </c>
      <c r="AA452" s="1">
        <v>47.954412775093942</v>
      </c>
      <c r="AB452" s="1">
        <v>0.3424594217788019</v>
      </c>
      <c r="AC452" s="1">
        <v>21.983914362519201</v>
      </c>
    </row>
    <row r="453" spans="1:29" x14ac:dyDescent="0.2">
      <c r="A453" s="1" t="s">
        <v>1602</v>
      </c>
      <c r="B453" s="1" t="str">
        <f t="shared" ca="1" si="7"/>
        <v>Open</v>
      </c>
      <c r="C453" s="1" t="s">
        <v>2770</v>
      </c>
      <c r="D453" s="1" t="s">
        <v>1603</v>
      </c>
      <c r="E453" s="1" t="s">
        <v>1604</v>
      </c>
      <c r="F453" s="1" t="s">
        <v>64</v>
      </c>
      <c r="G453" s="1" t="s">
        <v>1605</v>
      </c>
      <c r="H453" s="24">
        <v>45628</v>
      </c>
      <c r="I453" s="1"/>
      <c r="J453" s="1">
        <v>47.889600000000002</v>
      </c>
      <c r="K453" s="1">
        <v>106.93799</v>
      </c>
      <c r="L453" s="20">
        <v>0</v>
      </c>
      <c r="M453" s="20">
        <v>0.99930555555555556</v>
      </c>
      <c r="N453" s="1">
        <v>0.33435262369692303</v>
      </c>
      <c r="O453" s="1">
        <v>59.690313333333329</v>
      </c>
      <c r="P453" s="1">
        <v>0.50488408462258061</v>
      </c>
      <c r="Q453" s="1">
        <v>30.983386738351257</v>
      </c>
      <c r="R453" s="1">
        <v>0.44049508400833332</v>
      </c>
      <c r="S453" s="1">
        <v>75.336024523809513</v>
      </c>
      <c r="T453" s="1">
        <v>0.50533699032831547</v>
      </c>
      <c r="U453" s="1">
        <v>30.644173835125446</v>
      </c>
      <c r="V453" s="1">
        <v>0.49858332094765417</v>
      </c>
      <c r="W453" s="1">
        <v>95.4252439506173</v>
      </c>
      <c r="X453" s="1">
        <v>0.46129724176308246</v>
      </c>
      <c r="Y453" s="1">
        <v>36.199016129032259</v>
      </c>
      <c r="Z453" s="1">
        <v>0.29605916333794868</v>
      </c>
      <c r="AA453" s="1">
        <v>57.806553333333333</v>
      </c>
      <c r="AB453" s="1">
        <v>0.38721140607063492</v>
      </c>
      <c r="AC453" s="1">
        <v>22.390291269841274</v>
      </c>
    </row>
    <row r="454" spans="1:29" x14ac:dyDescent="0.2">
      <c r="A454" s="1" t="s">
        <v>1606</v>
      </c>
      <c r="B454" s="1" t="str">
        <f t="shared" ca="1" si="7"/>
        <v>Closed</v>
      </c>
      <c r="C454" s="1" t="s">
        <v>2770</v>
      </c>
      <c r="D454" s="1" t="s">
        <v>1607</v>
      </c>
      <c r="E454" s="1" t="s">
        <v>1608</v>
      </c>
      <c r="F454" s="1" t="s">
        <v>28</v>
      </c>
      <c r="G454" s="1" t="s">
        <v>1609</v>
      </c>
      <c r="H454" s="24">
        <v>45635</v>
      </c>
      <c r="I454" s="24">
        <v>46093</v>
      </c>
      <c r="J454" s="1">
        <v>47.929192700000002</v>
      </c>
      <c r="K454" s="1">
        <v>106.889528</v>
      </c>
      <c r="L454" s="20">
        <v>0.29166666666666669</v>
      </c>
      <c r="M454" s="20">
        <v>0.83333333333333337</v>
      </c>
      <c r="N454" s="1">
        <v>0.17511802893549858</v>
      </c>
      <c r="O454" s="1">
        <v>46.084971263057923</v>
      </c>
      <c r="P454" s="1">
        <v>0.34217099020179204</v>
      </c>
      <c r="Q454" s="1">
        <v>18.597923297491036</v>
      </c>
      <c r="R454" s="1">
        <v>0.34967429266697425</v>
      </c>
      <c r="S454" s="1">
        <v>64.856678372628565</v>
      </c>
      <c r="T454" s="1">
        <v>0.41828832123450349</v>
      </c>
      <c r="U454" s="1">
        <v>28.670884492389892</v>
      </c>
      <c r="V454" s="1">
        <v>0.18038799651420312</v>
      </c>
      <c r="W454" s="1">
        <v>38.242926282051286</v>
      </c>
      <c r="X454" s="1">
        <v>0.18613702459262674</v>
      </c>
      <c r="Y454" s="1">
        <v>11.823934869431646</v>
      </c>
      <c r="Z454" s="1">
        <v>0.31653718383119989</v>
      </c>
      <c r="AA454" s="1">
        <v>56.630868402542887</v>
      </c>
      <c r="AB454" s="1">
        <v>0.42643210498023176</v>
      </c>
      <c r="AC454" s="1">
        <v>27.822289464341484</v>
      </c>
    </row>
    <row r="455" spans="1:29" x14ac:dyDescent="0.2">
      <c r="A455" s="1" t="s">
        <v>1610</v>
      </c>
      <c r="B455" s="1" t="str">
        <f t="shared" ca="1" si="7"/>
        <v>Open</v>
      </c>
      <c r="C455" s="1" t="s">
        <v>2770</v>
      </c>
      <c r="D455" s="1" t="s">
        <v>1611</v>
      </c>
      <c r="E455" s="1" t="s">
        <v>1612</v>
      </c>
      <c r="F455" s="1" t="s">
        <v>64</v>
      </c>
      <c r="G455" s="1" t="s">
        <v>1613</v>
      </c>
      <c r="H455" s="24">
        <v>45628</v>
      </c>
      <c r="I455" s="1"/>
      <c r="J455" s="1">
        <v>47.86815</v>
      </c>
      <c r="K455" s="1">
        <v>106.83237</v>
      </c>
      <c r="L455" s="20">
        <v>0.29166666666666669</v>
      </c>
      <c r="M455" s="20">
        <v>0.99930555555555556</v>
      </c>
      <c r="N455" s="1">
        <v>0.56451092946202941</v>
      </c>
      <c r="O455" s="1">
        <v>124.30360768751946</v>
      </c>
      <c r="P455" s="1">
        <v>0.44732562398315417</v>
      </c>
      <c r="Q455" s="1">
        <v>38.997677481151904</v>
      </c>
      <c r="R455" s="1">
        <v>0.58325232566888074</v>
      </c>
      <c r="S455" s="1">
        <v>89.295648550724636</v>
      </c>
      <c r="T455" s="1">
        <v>0.45247597763589159</v>
      </c>
      <c r="U455" s="1">
        <v>39.886052280311453</v>
      </c>
      <c r="V455" s="1">
        <v>0.48511724615701768</v>
      </c>
      <c r="W455" s="1">
        <v>68.368230954041692</v>
      </c>
      <c r="X455" s="1">
        <v>0.49657325984077055</v>
      </c>
      <c r="Y455" s="1">
        <v>39.431300179211462</v>
      </c>
      <c r="Z455" s="1">
        <v>0.4608332146050293</v>
      </c>
      <c r="AA455" s="1">
        <v>116.57543383367839</v>
      </c>
      <c r="AB455" s="1">
        <v>0.33014910895296395</v>
      </c>
      <c r="AC455" s="1">
        <v>32.513499807003036</v>
      </c>
    </row>
    <row r="456" spans="1:29" x14ac:dyDescent="0.2">
      <c r="A456" s="1" t="s">
        <v>1614</v>
      </c>
      <c r="B456" s="1" t="str">
        <f t="shared" ca="1" si="7"/>
        <v>Open</v>
      </c>
      <c r="C456" s="1" t="s">
        <v>2770</v>
      </c>
      <c r="D456" s="1" t="s">
        <v>1615</v>
      </c>
      <c r="E456" s="1" t="s">
        <v>1616</v>
      </c>
      <c r="F456" s="1" t="s">
        <v>841</v>
      </c>
      <c r="G456" s="1" t="s">
        <v>2680</v>
      </c>
      <c r="H456" s="24">
        <v>45643</v>
      </c>
      <c r="I456" s="1"/>
      <c r="J456" s="1">
        <v>47.766328999999999</v>
      </c>
      <c r="K456" s="1">
        <v>107.26347800000001</v>
      </c>
      <c r="L456" s="20">
        <v>0</v>
      </c>
      <c r="M456" s="20">
        <v>0.99930555555555556</v>
      </c>
      <c r="N456" s="1">
        <v>0.45602221522389358</v>
      </c>
      <c r="O456" s="1">
        <v>71.380124615384617</v>
      </c>
      <c r="P456" s="1">
        <v>0.42550986078351244</v>
      </c>
      <c r="Q456" s="1">
        <v>22.058547670250903</v>
      </c>
      <c r="R456" s="1">
        <v>0.37439872404700858</v>
      </c>
      <c r="S456" s="1">
        <v>53.420938271604939</v>
      </c>
      <c r="T456" s="1">
        <v>0.46084092455591397</v>
      </c>
      <c r="U456" s="1">
        <v>23.075263082437271</v>
      </c>
      <c r="V456" s="1">
        <v>0.55014994434584985</v>
      </c>
      <c r="W456" s="1">
        <v>69.55933274453939</v>
      </c>
      <c r="X456" s="1">
        <v>0.50138814334767023</v>
      </c>
      <c r="Y456" s="1">
        <v>25.482486738351255</v>
      </c>
      <c r="Z456" s="1">
        <v>0.45089196024219008</v>
      </c>
      <c r="AA456" s="1">
        <v>75.945332882447687</v>
      </c>
      <c r="AB456" s="1">
        <v>0.35133747201459292</v>
      </c>
      <c r="AC456" s="1">
        <v>16.929347542242706</v>
      </c>
    </row>
    <row r="457" spans="1:29" x14ac:dyDescent="0.2">
      <c r="A457" s="1" t="s">
        <v>2348</v>
      </c>
      <c r="B457" s="1" t="str">
        <f t="shared" ca="1" si="7"/>
        <v>Open</v>
      </c>
      <c r="C457" s="1" t="s">
        <v>2771</v>
      </c>
      <c r="D457" s="1" t="s">
        <v>2349</v>
      </c>
      <c r="E457" s="1" t="s">
        <v>2350</v>
      </c>
      <c r="F457" s="1" t="s">
        <v>2262</v>
      </c>
      <c r="G457" s="1" t="s">
        <v>2351</v>
      </c>
      <c r="H457" s="24">
        <v>45625</v>
      </c>
      <c r="I457" s="1"/>
      <c r="J457" s="1">
        <v>50.229388</v>
      </c>
      <c r="K457" s="1">
        <v>106.21912</v>
      </c>
      <c r="L457" s="20">
        <v>0</v>
      </c>
      <c r="M457" s="20">
        <v>0.99930555555555556</v>
      </c>
      <c r="N457" s="1">
        <v>0.3824234026616869</v>
      </c>
      <c r="O457" s="1">
        <v>61.21546311858075</v>
      </c>
      <c r="P457" s="1">
        <v>0.62907924110394253</v>
      </c>
      <c r="Q457" s="1">
        <v>23.781377777777777</v>
      </c>
      <c r="R457" s="1">
        <v>0.35425926205555552</v>
      </c>
      <c r="S457" s="1">
        <v>46.032148148148146</v>
      </c>
      <c r="T457" s="1">
        <v>0.53446890775448042</v>
      </c>
      <c r="U457" s="1">
        <v>21.761798566308244</v>
      </c>
      <c r="V457" s="1">
        <v>0.6141174560062389</v>
      </c>
      <c r="W457" s="1">
        <v>90.224812834224579</v>
      </c>
      <c r="X457" s="1">
        <v>0.73803278194014332</v>
      </c>
      <c r="Y457" s="1">
        <v>26.717094982078851</v>
      </c>
      <c r="Z457" s="1">
        <v>0.38012283720818707</v>
      </c>
      <c r="AA457" s="1">
        <v>60.780571150097465</v>
      </c>
      <c r="AB457" s="1">
        <v>0.74062423040437808</v>
      </c>
      <c r="AC457" s="1">
        <v>21.48364093701997</v>
      </c>
    </row>
    <row r="458" spans="1:29" x14ac:dyDescent="0.2">
      <c r="A458" s="1" t="s">
        <v>2352</v>
      </c>
      <c r="B458" s="1" t="str">
        <f t="shared" ca="1" si="7"/>
        <v>Open</v>
      </c>
      <c r="C458" s="1" t="s">
        <v>2771</v>
      </c>
      <c r="D458" s="1" t="s">
        <v>2353</v>
      </c>
      <c r="E458" s="1" t="s">
        <v>2354</v>
      </c>
      <c r="F458" s="1" t="s">
        <v>2346</v>
      </c>
      <c r="G458" s="1" t="s">
        <v>2681</v>
      </c>
      <c r="H458" s="24">
        <v>45630</v>
      </c>
      <c r="I458" s="1"/>
      <c r="J458" s="1">
        <v>49.038131</v>
      </c>
      <c r="K458" s="1">
        <v>104.093267</v>
      </c>
      <c r="L458" s="20">
        <v>0</v>
      </c>
      <c r="M458" s="20">
        <v>0.99930555555555556</v>
      </c>
      <c r="N458" s="1">
        <v>0.74721511741148461</v>
      </c>
      <c r="O458" s="1">
        <v>133.12897063492062</v>
      </c>
      <c r="P458" s="1">
        <v>0.48634760520007697</v>
      </c>
      <c r="Q458" s="1">
        <v>28.804380952380953</v>
      </c>
      <c r="R458" s="1">
        <v>0.64282556787301592</v>
      </c>
      <c r="S458" s="1">
        <v>101.18868253968255</v>
      </c>
      <c r="T458" s="1">
        <v>0.47856039142701756</v>
      </c>
      <c r="U458" s="1">
        <v>24.874884810283032</v>
      </c>
      <c r="V458" s="1">
        <v>1.2951615137456816</v>
      </c>
      <c r="W458" s="1">
        <v>193.77832119514471</v>
      </c>
      <c r="X458" s="1">
        <v>0.87054670141075263</v>
      </c>
      <c r="Y458" s="1">
        <v>50.011455197132626</v>
      </c>
      <c r="Z458" s="1">
        <v>0.63947875287061406</v>
      </c>
      <c r="AA458" s="1">
        <v>131.43076864035086</v>
      </c>
      <c r="AB458" s="1">
        <v>0.55133156337036138</v>
      </c>
      <c r="AC458" s="1">
        <v>30.04314734537493</v>
      </c>
    </row>
    <row r="459" spans="1:29" x14ac:dyDescent="0.2">
      <c r="A459" s="1" t="s">
        <v>1617</v>
      </c>
      <c r="B459" s="1" t="str">
        <f t="shared" ca="1" si="7"/>
        <v>Open</v>
      </c>
      <c r="C459" s="1" t="s">
        <v>2770</v>
      </c>
      <c r="D459" s="1" t="s">
        <v>1618</v>
      </c>
      <c r="E459" s="1" t="s">
        <v>1619</v>
      </c>
      <c r="F459" s="1" t="s">
        <v>33</v>
      </c>
      <c r="G459" s="1" t="s">
        <v>1620</v>
      </c>
      <c r="H459" s="24">
        <v>45651</v>
      </c>
      <c r="I459" s="1"/>
      <c r="J459" s="1">
        <v>47.969312000000002</v>
      </c>
      <c r="K459" s="1">
        <v>106.91681199999999</v>
      </c>
      <c r="L459" s="20">
        <v>0</v>
      </c>
      <c r="M459" s="20">
        <v>0.99930555555555556</v>
      </c>
      <c r="N459" s="1">
        <v>0.41157829169480514</v>
      </c>
      <c r="O459" s="1">
        <v>69.269776334776338</v>
      </c>
      <c r="P459" s="1">
        <v>0.5214493539299222</v>
      </c>
      <c r="Q459" s="1">
        <v>20.799750834260283</v>
      </c>
      <c r="R459" s="1">
        <v>0.35748148487611409</v>
      </c>
      <c r="S459" s="1">
        <v>52.593208556149726</v>
      </c>
      <c r="T459" s="1">
        <v>0.44386402130222735</v>
      </c>
      <c r="U459" s="1">
        <v>17.114871735791091</v>
      </c>
      <c r="V459" s="1">
        <v>0.44315107369150192</v>
      </c>
      <c r="W459" s="1">
        <v>64.991601317523049</v>
      </c>
      <c r="X459" s="1">
        <v>0.55477921865714286</v>
      </c>
      <c r="Y459" s="1">
        <v>24.394112698412702</v>
      </c>
      <c r="Z459" s="1">
        <v>0.33369282780196868</v>
      </c>
      <c r="AA459" s="1">
        <v>70.913119901202279</v>
      </c>
      <c r="AB459" s="1">
        <v>0.38983383323847925</v>
      </c>
      <c r="AC459" s="1">
        <v>15.222910138248855</v>
      </c>
    </row>
    <row r="460" spans="1:29" x14ac:dyDescent="0.2">
      <c r="A460" s="1" t="s">
        <v>2355</v>
      </c>
      <c r="B460" s="1" t="str">
        <f t="shared" ca="1" si="7"/>
        <v>Open</v>
      </c>
      <c r="C460" s="1" t="s">
        <v>2771</v>
      </c>
      <c r="D460" s="1" t="s">
        <v>2356</v>
      </c>
      <c r="E460" s="1" t="s">
        <v>2357</v>
      </c>
      <c r="F460" s="1" t="s">
        <v>2237</v>
      </c>
      <c r="G460" s="1" t="s">
        <v>2358</v>
      </c>
      <c r="H460" s="24">
        <v>45674</v>
      </c>
      <c r="I460" s="1"/>
      <c r="J460" s="1">
        <v>47.320518999999997</v>
      </c>
      <c r="K460" s="1">
        <v>110.657416</v>
      </c>
      <c r="L460" s="20">
        <v>0</v>
      </c>
      <c r="M460" s="20">
        <v>0.99930555555555556</v>
      </c>
      <c r="N460" s="1">
        <v>0.49531372808304092</v>
      </c>
      <c r="O460" s="1">
        <v>79.009543859649114</v>
      </c>
      <c r="P460" s="1">
        <v>0.47724533561612897</v>
      </c>
      <c r="Q460" s="1">
        <v>32.255448028673825</v>
      </c>
      <c r="R460" s="1">
        <v>0.51882218979239758</v>
      </c>
      <c r="S460" s="1">
        <v>64.098961988304097</v>
      </c>
      <c r="T460" s="1">
        <v>0.38333921181111119</v>
      </c>
      <c r="U460" s="1">
        <v>24.002100000000002</v>
      </c>
      <c r="V460" s="1">
        <v>0.53754229615157001</v>
      </c>
      <c r="W460" s="1">
        <v>68.593252717391294</v>
      </c>
      <c r="X460" s="1">
        <v>0.55965856127706093</v>
      </c>
      <c r="Y460" s="1">
        <v>30.235835483870972</v>
      </c>
      <c r="Z460" s="1">
        <v>0.49094339428867101</v>
      </c>
      <c r="AA460" s="1">
        <v>83.949721786492361</v>
      </c>
      <c r="AB460" s="1">
        <v>0.37202971069662066</v>
      </c>
      <c r="AC460" s="1">
        <v>27.271793010752692</v>
      </c>
    </row>
    <row r="461" spans="1:29" x14ac:dyDescent="0.2">
      <c r="A461" s="1" t="s">
        <v>2359</v>
      </c>
      <c r="B461" s="1" t="str">
        <f t="shared" ca="1" si="7"/>
        <v>Open</v>
      </c>
      <c r="C461" s="1" t="s">
        <v>2771</v>
      </c>
      <c r="D461" s="1" t="s">
        <v>2360</v>
      </c>
      <c r="E461" s="1" t="s">
        <v>2361</v>
      </c>
      <c r="F461" s="1" t="s">
        <v>2334</v>
      </c>
      <c r="G461" s="1" t="s">
        <v>2362</v>
      </c>
      <c r="H461" s="24">
        <v>45651</v>
      </c>
      <c r="I461" s="1"/>
      <c r="J461" s="1">
        <v>47.478116999999997</v>
      </c>
      <c r="K461" s="1">
        <v>101.45313</v>
      </c>
      <c r="L461" s="20">
        <v>0</v>
      </c>
      <c r="M461" s="20">
        <v>0.99930555555555556</v>
      </c>
      <c r="N461" s="1">
        <v>0.58796486469907394</v>
      </c>
      <c r="O461" s="1">
        <v>101.2463585858586</v>
      </c>
      <c r="P461" s="1">
        <v>0.62980773336666662</v>
      </c>
      <c r="Q461" s="1">
        <v>30.575200000000006</v>
      </c>
      <c r="R461" s="1">
        <v>0.45725449851754391</v>
      </c>
      <c r="S461" s="1">
        <v>54.422225146198826</v>
      </c>
      <c r="T461" s="1">
        <v>0.84785539910473906</v>
      </c>
      <c r="U461" s="1">
        <v>30.420120270808443</v>
      </c>
      <c r="V461" s="1">
        <v>0.63994066725429899</v>
      </c>
      <c r="W461" s="1">
        <v>88.550562830687838</v>
      </c>
      <c r="X461" s="1">
        <v>0.87831464050109054</v>
      </c>
      <c r="Y461" s="1">
        <v>30.292766814028877</v>
      </c>
      <c r="Z461" s="1">
        <v>0.38266952055112141</v>
      </c>
      <c r="AA461" s="1">
        <v>63.045556969346443</v>
      </c>
      <c r="AB461" s="1">
        <v>0.37161935964483167</v>
      </c>
      <c r="AC461" s="1">
        <v>25.212631318749228</v>
      </c>
    </row>
    <row r="462" spans="1:29" x14ac:dyDescent="0.2">
      <c r="A462" s="1" t="s">
        <v>1621</v>
      </c>
      <c r="B462" s="1" t="str">
        <f t="shared" ca="1" si="7"/>
        <v>Open</v>
      </c>
      <c r="C462" s="1" t="s">
        <v>2770</v>
      </c>
      <c r="D462" s="1" t="s">
        <v>1622</v>
      </c>
      <c r="E462" s="1" t="s">
        <v>1623</v>
      </c>
      <c r="F462" s="1" t="s">
        <v>145</v>
      </c>
      <c r="G462" s="1" t="s">
        <v>1624</v>
      </c>
      <c r="H462" s="24">
        <v>45650</v>
      </c>
      <c r="I462" s="1"/>
      <c r="J462" s="1">
        <v>47.916888999999998</v>
      </c>
      <c r="K462" s="1">
        <v>106.832233</v>
      </c>
      <c r="L462" s="20">
        <v>0</v>
      </c>
      <c r="M462" s="20">
        <v>0.99930555555555556</v>
      </c>
      <c r="N462" s="1">
        <v>0.53743045979677084</v>
      </c>
      <c r="O462" s="1">
        <v>75.363364539411222</v>
      </c>
      <c r="P462" s="1">
        <v>0.64873737302401435</v>
      </c>
      <c r="Q462" s="1">
        <v>33.607819354838718</v>
      </c>
      <c r="R462" s="1">
        <v>0.69600282849940653</v>
      </c>
      <c r="S462" s="1">
        <v>84.51661490978158</v>
      </c>
      <c r="T462" s="1">
        <v>0.70553682990537625</v>
      </c>
      <c r="U462" s="1">
        <v>35.97304050179212</v>
      </c>
      <c r="V462" s="1">
        <v>0.60242905926735035</v>
      </c>
      <c r="W462" s="1">
        <v>68.860842222222217</v>
      </c>
      <c r="X462" s="1">
        <v>0.70787085736594968</v>
      </c>
      <c r="Y462" s="1">
        <v>38.192472401433697</v>
      </c>
      <c r="Z462" s="1">
        <v>0.36278476921913577</v>
      </c>
      <c r="AA462" s="1">
        <v>54.219472222222215</v>
      </c>
      <c r="AB462" s="1">
        <v>0.50510954332104463</v>
      </c>
      <c r="AC462" s="1">
        <v>27.118585637480795</v>
      </c>
    </row>
    <row r="463" spans="1:29" x14ac:dyDescent="0.2">
      <c r="A463" s="1" t="s">
        <v>1625</v>
      </c>
      <c r="B463" s="1" t="str">
        <f t="shared" ca="1" si="7"/>
        <v>Open</v>
      </c>
      <c r="C463" s="1" t="s">
        <v>2770</v>
      </c>
      <c r="D463" s="1" t="s">
        <v>1626</v>
      </c>
      <c r="E463" s="1" t="s">
        <v>1627</v>
      </c>
      <c r="F463" s="1" t="s">
        <v>48</v>
      </c>
      <c r="G463" s="1" t="s">
        <v>1628</v>
      </c>
      <c r="H463" s="24">
        <v>45653</v>
      </c>
      <c r="I463" s="1"/>
      <c r="J463" s="1">
        <v>47.911046499999998</v>
      </c>
      <c r="K463" s="1">
        <v>106.99195899999999</v>
      </c>
      <c r="L463" s="20">
        <v>0.29166666666666669</v>
      </c>
      <c r="M463" s="20">
        <v>0.99930555555555556</v>
      </c>
      <c r="N463" s="1">
        <v>0.57060753370195627</v>
      </c>
      <c r="O463" s="1">
        <v>90.158673542260203</v>
      </c>
      <c r="P463" s="1">
        <v>1.4268927330125447</v>
      </c>
      <c r="Q463" s="1">
        <v>58.535300716845889</v>
      </c>
      <c r="R463" s="1">
        <v>0.58797781034581209</v>
      </c>
      <c r="S463" s="1">
        <v>84.746061153846142</v>
      </c>
      <c r="T463" s="1">
        <v>1.2804426079314049</v>
      </c>
      <c r="U463" s="1">
        <v>48.836779384501291</v>
      </c>
      <c r="V463" s="1">
        <v>0.46380772461337139</v>
      </c>
      <c r="W463" s="1">
        <v>69.055995593542278</v>
      </c>
      <c r="X463" s="1">
        <v>1.0701132517512544</v>
      </c>
      <c r="Y463" s="1">
        <v>40.655216487455192</v>
      </c>
      <c r="Z463" s="1">
        <v>0.4134285521433172</v>
      </c>
      <c r="AA463" s="1">
        <v>69.163696725711205</v>
      </c>
      <c r="AB463" s="1">
        <v>1.2693291002741935</v>
      </c>
      <c r="AC463" s="1">
        <v>47.327055683563742</v>
      </c>
    </row>
    <row r="464" spans="1:29" x14ac:dyDescent="0.2">
      <c r="A464" s="1" t="s">
        <v>1629</v>
      </c>
      <c r="B464" s="1" t="str">
        <f t="shared" ca="1" si="7"/>
        <v>Open</v>
      </c>
      <c r="C464" s="1" t="s">
        <v>2770</v>
      </c>
      <c r="D464" s="1" t="s">
        <v>1630</v>
      </c>
      <c r="E464" s="1" t="s">
        <v>1631</v>
      </c>
      <c r="F464" s="1" t="s">
        <v>145</v>
      </c>
      <c r="G464" s="1" t="s">
        <v>1632</v>
      </c>
      <c r="H464" s="24">
        <v>45656</v>
      </c>
      <c r="I464" s="1"/>
      <c r="J464" s="1">
        <v>47.912453999999997</v>
      </c>
      <c r="K464" s="1">
        <v>106.83793900000001</v>
      </c>
      <c r="L464" s="20">
        <v>0</v>
      </c>
      <c r="M464" s="20">
        <v>0.99930555555555556</v>
      </c>
      <c r="N464" s="1">
        <v>0.49936535311337144</v>
      </c>
      <c r="O464" s="1">
        <v>77.38906985754987</v>
      </c>
      <c r="P464" s="1">
        <v>0.69531666062688169</v>
      </c>
      <c r="Q464" s="1">
        <v>40.933959498207876</v>
      </c>
      <c r="R464" s="1">
        <v>0.64178435566666669</v>
      </c>
      <c r="S464" s="1">
        <v>101.81528205128205</v>
      </c>
      <c r="T464" s="1">
        <v>0.56054914160681002</v>
      </c>
      <c r="U464" s="1">
        <v>36.142809318996406</v>
      </c>
      <c r="V464" s="1">
        <v>0.80609080297754987</v>
      </c>
      <c r="W464" s="1">
        <v>111.11305411206077</v>
      </c>
      <c r="X464" s="1">
        <v>0.70776915429426535</v>
      </c>
      <c r="Y464" s="1">
        <v>43.824104301075273</v>
      </c>
      <c r="Z464" s="1">
        <v>0.45965325105152971</v>
      </c>
      <c r="AA464" s="1">
        <v>87.705676865271059</v>
      </c>
      <c r="AB464" s="1">
        <v>0.52249797112135177</v>
      </c>
      <c r="AC464" s="1">
        <v>37.406656682027652</v>
      </c>
    </row>
    <row r="465" spans="1:29" x14ac:dyDescent="0.2">
      <c r="A465" s="1" t="s">
        <v>1633</v>
      </c>
      <c r="B465" s="1" t="str">
        <f t="shared" ca="1" si="7"/>
        <v>Open</v>
      </c>
      <c r="C465" s="1" t="s">
        <v>2770</v>
      </c>
      <c r="D465" s="1" t="s">
        <v>1634</v>
      </c>
      <c r="E465" s="1" t="s">
        <v>1635</v>
      </c>
      <c r="F465" s="1" t="s">
        <v>11</v>
      </c>
      <c r="G465" s="1" t="s">
        <v>1636</v>
      </c>
      <c r="H465" s="24">
        <v>45656</v>
      </c>
      <c r="I465" s="1"/>
      <c r="J465" s="1">
        <v>47.981222000000002</v>
      </c>
      <c r="K465" s="1">
        <v>106.938923</v>
      </c>
      <c r="L465" s="20">
        <v>0</v>
      </c>
      <c r="M465" s="20">
        <v>0.99930555555555556</v>
      </c>
      <c r="N465" s="1">
        <v>0.33662809553376621</v>
      </c>
      <c r="O465" s="1">
        <v>58.503449350649355</v>
      </c>
      <c r="P465" s="1">
        <v>0.41770434952615237</v>
      </c>
      <c r="Q465" s="1">
        <v>23.968566505994318</v>
      </c>
      <c r="R465" s="1">
        <v>0.36053167436714278</v>
      </c>
      <c r="S465" s="1">
        <v>43.459181587301579</v>
      </c>
      <c r="T465" s="1">
        <v>0.4669546620133827</v>
      </c>
      <c r="U465" s="1">
        <v>23.318826819923377</v>
      </c>
      <c r="V465" s="1">
        <v>0.64933321027294688</v>
      </c>
      <c r="W465" s="1">
        <v>96.246271336553932</v>
      </c>
      <c r="X465" s="1">
        <v>0.74378514007701879</v>
      </c>
      <c r="Y465" s="1">
        <v>35.809882165368926</v>
      </c>
      <c r="Z465" s="1">
        <v>0.40748259634695905</v>
      </c>
      <c r="AA465" s="1">
        <v>76.619554035087717</v>
      </c>
      <c r="AB465" s="1">
        <v>0.3323739965136015</v>
      </c>
      <c r="AC465" s="1">
        <v>20.403804844006569</v>
      </c>
    </row>
    <row r="466" spans="1:29" x14ac:dyDescent="0.2">
      <c r="A466" s="1" t="s">
        <v>2363</v>
      </c>
      <c r="B466" s="1" t="str">
        <f t="shared" ca="1" si="7"/>
        <v>Open</v>
      </c>
      <c r="C466" s="1" t="s">
        <v>2770</v>
      </c>
      <c r="D466" s="1" t="s">
        <v>2364</v>
      </c>
      <c r="E466" s="1" t="s">
        <v>2365</v>
      </c>
      <c r="F466" s="1" t="s">
        <v>2198</v>
      </c>
      <c r="G466" s="1" t="s">
        <v>2366</v>
      </c>
      <c r="H466" s="24">
        <v>45666</v>
      </c>
      <c r="I466" s="1"/>
      <c r="J466" s="1">
        <v>47.785260000000001</v>
      </c>
      <c r="K466" s="1">
        <v>108.37405</v>
      </c>
      <c r="L466" s="20">
        <v>0</v>
      </c>
      <c r="M466" s="20">
        <v>0.99930555555555556</v>
      </c>
      <c r="N466" s="1">
        <v>0.61398268041394333</v>
      </c>
      <c r="O466" s="1">
        <v>108.71574591503268</v>
      </c>
      <c r="P466" s="1">
        <v>0.68010634862550967</v>
      </c>
      <c r="Q466" s="1">
        <v>33.676236188357436</v>
      </c>
      <c r="R466" s="1">
        <v>0.47481133070370368</v>
      </c>
      <c r="S466" s="1">
        <v>71.563418300653609</v>
      </c>
      <c r="T466" s="1">
        <v>0.44586547733082438</v>
      </c>
      <c r="U466" s="1">
        <v>22.660365232974915</v>
      </c>
      <c r="V466" s="1">
        <v>0.67563482366310623</v>
      </c>
      <c r="W466" s="1">
        <v>110.17996104231167</v>
      </c>
      <c r="X466" s="1">
        <v>0.65809757043333317</v>
      </c>
      <c r="Y466" s="1">
        <v>34.402503942652338</v>
      </c>
      <c r="Z466" s="1">
        <v>0.73078230951626788</v>
      </c>
      <c r="AA466" s="1">
        <v>166.18529330143539</v>
      </c>
      <c r="AB466" s="1">
        <v>0.53221936667895553</v>
      </c>
      <c r="AC466" s="1">
        <v>26.03074193548386</v>
      </c>
    </row>
    <row r="467" spans="1:29" x14ac:dyDescent="0.2">
      <c r="A467" s="1" t="s">
        <v>2367</v>
      </c>
      <c r="B467" s="1" t="str">
        <f t="shared" ca="1" si="7"/>
        <v>Open</v>
      </c>
      <c r="C467" s="1" t="s">
        <v>2771</v>
      </c>
      <c r="D467" s="1" t="s">
        <v>2368</v>
      </c>
      <c r="E467" s="1" t="s">
        <v>2369</v>
      </c>
      <c r="F467" s="1" t="s">
        <v>2237</v>
      </c>
      <c r="G467" s="1" t="s">
        <v>2370</v>
      </c>
      <c r="H467" s="24">
        <v>45673</v>
      </c>
      <c r="I467" s="1"/>
      <c r="J467" s="1">
        <v>47.321179000000001</v>
      </c>
      <c r="K467" s="1">
        <v>110.64955</v>
      </c>
      <c r="L467" s="20">
        <v>0</v>
      </c>
      <c r="M467" s="20">
        <v>0.99930555555555556</v>
      </c>
      <c r="N467" s="1">
        <v>0.57688126920697158</v>
      </c>
      <c r="O467" s="1">
        <v>88.934621070650493</v>
      </c>
      <c r="P467" s="1">
        <v>0.66428847495017918</v>
      </c>
      <c r="Q467" s="1">
        <v>35.175023297491038</v>
      </c>
      <c r="R467" s="1">
        <v>0.57078149076900575</v>
      </c>
      <c r="S467" s="1">
        <v>67.339146198830406</v>
      </c>
      <c r="T467" s="1">
        <v>0.54021821336272413</v>
      </c>
      <c r="U467" s="1">
        <v>29.098746953405026</v>
      </c>
      <c r="V467" s="1">
        <v>0.79571643626746036</v>
      </c>
      <c r="W467" s="1">
        <v>99.236138888888874</v>
      </c>
      <c r="X467" s="1">
        <v>0.75116733496255084</v>
      </c>
      <c r="Y467" s="1">
        <v>37.812484983314796</v>
      </c>
      <c r="Z467" s="1">
        <v>0.54478283009803918</v>
      </c>
      <c r="AA467" s="1">
        <v>86.408999999999992</v>
      </c>
      <c r="AB467" s="1">
        <v>0.52308515040745018</v>
      </c>
      <c r="AC467" s="1">
        <v>28.885945852534562</v>
      </c>
    </row>
    <row r="468" spans="1:29" x14ac:dyDescent="0.2">
      <c r="A468" s="1" t="s">
        <v>2371</v>
      </c>
      <c r="B468" s="1" t="str">
        <f t="shared" ca="1" si="7"/>
        <v>Open</v>
      </c>
      <c r="C468" s="1" t="s">
        <v>2771</v>
      </c>
      <c r="D468" s="1" t="s">
        <v>2372</v>
      </c>
      <c r="E468" s="1" t="s">
        <v>2373</v>
      </c>
      <c r="F468" s="1" t="s">
        <v>2374</v>
      </c>
      <c r="G468" s="1" t="s">
        <v>2375</v>
      </c>
      <c r="H468" s="24">
        <v>45681</v>
      </c>
      <c r="I468" s="1"/>
      <c r="J468" s="1">
        <v>47.466780200000002</v>
      </c>
      <c r="K468" s="1">
        <v>101.48336399999999</v>
      </c>
      <c r="L468" s="20">
        <v>0</v>
      </c>
      <c r="M468" s="20">
        <v>0.99930555555555556</v>
      </c>
      <c r="N468" s="1">
        <v>0.77841724860950279</v>
      </c>
      <c r="O468" s="1">
        <v>107.01053062865499</v>
      </c>
      <c r="P468" s="1">
        <v>0.50167685123620054</v>
      </c>
      <c r="Q468" s="1">
        <v>30.004523655913975</v>
      </c>
      <c r="R468" s="1">
        <v>0.54619930718518528</v>
      </c>
      <c r="S468" s="1">
        <v>60.705214596949894</v>
      </c>
      <c r="T468" s="1">
        <v>0.58035384227275977</v>
      </c>
      <c r="U468" s="1">
        <v>24.495616487455194</v>
      </c>
      <c r="V468" s="1">
        <v>1.3289578011047778</v>
      </c>
      <c r="W468" s="1">
        <v>174.93677026558495</v>
      </c>
      <c r="X468" s="1">
        <v>1.1483587520817202</v>
      </c>
      <c r="Y468" s="1">
        <v>63.487099641577068</v>
      </c>
      <c r="Z468" s="1">
        <v>0.61364667341212409</v>
      </c>
      <c r="AA468" s="1">
        <v>83.904345185881368</v>
      </c>
      <c r="AB468" s="1">
        <v>0.42948284273924742</v>
      </c>
      <c r="AC468" s="1">
        <v>30.401007296466975</v>
      </c>
    </row>
    <row r="469" spans="1:29" x14ac:dyDescent="0.2">
      <c r="A469" s="1" t="s">
        <v>2376</v>
      </c>
      <c r="B469" s="1" t="str">
        <f t="shared" ca="1" si="7"/>
        <v>Open</v>
      </c>
      <c r="C469" s="1" t="s">
        <v>2771</v>
      </c>
      <c r="D469" s="1" t="s">
        <v>2377</v>
      </c>
      <c r="E469" s="1" t="s">
        <v>2378</v>
      </c>
      <c r="F469" s="1" t="s">
        <v>2262</v>
      </c>
      <c r="G469" s="1" t="s">
        <v>2682</v>
      </c>
      <c r="H469" s="24">
        <v>45675</v>
      </c>
      <c r="I469" s="1"/>
      <c r="J469" s="1">
        <v>50.240355000000001</v>
      </c>
      <c r="K469" s="1">
        <v>106.20627899999999</v>
      </c>
      <c r="L469" s="20">
        <v>0</v>
      </c>
      <c r="M469" s="20">
        <v>0.99930555555555556</v>
      </c>
      <c r="N469" s="1">
        <v>0.54015454153750009</v>
      </c>
      <c r="O469" s="1">
        <v>76.757991666666655</v>
      </c>
      <c r="P469" s="1">
        <v>0.86013839598888897</v>
      </c>
      <c r="Q469" s="1">
        <v>39.292421146953394</v>
      </c>
      <c r="R469" s="1">
        <v>0.57854308295661083</v>
      </c>
      <c r="S469" s="1">
        <v>76.018751460047966</v>
      </c>
      <c r="T469" s="1">
        <v>0.47841050925555556</v>
      </c>
      <c r="U469" s="1">
        <v>31.113044444444444</v>
      </c>
      <c r="V469" s="1">
        <v>0.41385877480718952</v>
      </c>
      <c r="W469" s="1">
        <v>53.591915032679729</v>
      </c>
      <c r="X469" s="1">
        <v>0.63292898627670258</v>
      </c>
      <c r="Y469" s="1">
        <v>27.325732616487453</v>
      </c>
      <c r="Z469" s="1">
        <v>0.41806035214999993</v>
      </c>
      <c r="AA469" s="1">
        <v>78.026093939393945</v>
      </c>
      <c r="AB469" s="1">
        <v>0.57820340821351779</v>
      </c>
      <c r="AC469" s="1">
        <v>28.100451996927791</v>
      </c>
    </row>
    <row r="470" spans="1:29" x14ac:dyDescent="0.2">
      <c r="A470" s="1" t="s">
        <v>2379</v>
      </c>
      <c r="B470" s="1" t="str">
        <f t="shared" ca="1" si="7"/>
        <v>Open</v>
      </c>
      <c r="C470" s="1" t="s">
        <v>2771</v>
      </c>
      <c r="D470" s="1" t="s">
        <v>2380</v>
      </c>
      <c r="E470" s="1" t="s">
        <v>2381</v>
      </c>
      <c r="F470" s="1" t="s">
        <v>2382</v>
      </c>
      <c r="G470" s="1" t="s">
        <v>2383</v>
      </c>
      <c r="H470" s="24">
        <v>45677</v>
      </c>
      <c r="I470" s="1"/>
      <c r="J470" s="1">
        <v>50.318131200000003</v>
      </c>
      <c r="K470" s="1">
        <v>106.494445</v>
      </c>
      <c r="L470" s="20">
        <v>0</v>
      </c>
      <c r="M470" s="20">
        <v>0.99930555555555556</v>
      </c>
      <c r="N470" s="1">
        <v>0.59923190942272342</v>
      </c>
      <c r="O470" s="1">
        <v>86.646756155093613</v>
      </c>
      <c r="P470" s="1">
        <v>0.95751730969999993</v>
      </c>
      <c r="Q470" s="1">
        <v>33.564022222222228</v>
      </c>
      <c r="R470" s="1">
        <v>0.62977614348137245</v>
      </c>
      <c r="S470" s="1">
        <v>76.522904901960771</v>
      </c>
      <c r="T470" s="1">
        <v>0.8985744199080461</v>
      </c>
      <c r="U470" s="1">
        <v>29.47421282906933</v>
      </c>
      <c r="V470" s="1">
        <v>0.75405976073333347</v>
      </c>
      <c r="W470" s="1">
        <v>72.717511111111108</v>
      </c>
      <c r="X470" s="1">
        <v>0.78164982598414212</v>
      </c>
      <c r="Y470" s="1">
        <v>32.153242431042543</v>
      </c>
      <c r="Z470" s="1">
        <v>0.61739453842222236</v>
      </c>
      <c r="AA470" s="1">
        <v>116.60282222222223</v>
      </c>
      <c r="AB470" s="1">
        <v>1.3073705623861498</v>
      </c>
      <c r="AC470" s="1">
        <v>29.917543881208399</v>
      </c>
    </row>
    <row r="471" spans="1:29" x14ac:dyDescent="0.2">
      <c r="A471" s="1" t="s">
        <v>2384</v>
      </c>
      <c r="B471" s="1" t="str">
        <f t="shared" ca="1" si="7"/>
        <v>Open</v>
      </c>
      <c r="C471" s="1" t="s">
        <v>2771</v>
      </c>
      <c r="D471" s="1" t="s">
        <v>2385</v>
      </c>
      <c r="E471" s="1" t="s">
        <v>2386</v>
      </c>
      <c r="F471" s="1" t="s">
        <v>2245</v>
      </c>
      <c r="G471" s="1" t="s">
        <v>2387</v>
      </c>
      <c r="H471" s="24">
        <v>45684</v>
      </c>
      <c r="I471" s="1"/>
      <c r="J471" s="1">
        <v>48.851925399999999</v>
      </c>
      <c r="K471" s="1">
        <v>106.46216</v>
      </c>
      <c r="L471" s="20">
        <v>0</v>
      </c>
      <c r="M471" s="20">
        <v>0.99930555555555556</v>
      </c>
      <c r="N471" s="1">
        <v>0.60213172977181362</v>
      </c>
      <c r="O471" s="1">
        <v>85.971278431372539</v>
      </c>
      <c r="P471" s="1">
        <v>0.48143332098781366</v>
      </c>
      <c r="Q471" s="1">
        <v>30.298211827956987</v>
      </c>
      <c r="R471" s="1">
        <v>0.60791716691299025</v>
      </c>
      <c r="S471" s="1">
        <v>79.936840441176457</v>
      </c>
      <c r="T471" s="1">
        <v>0.46040681590394267</v>
      </c>
      <c r="U471" s="1">
        <v>29.447150896057348</v>
      </c>
      <c r="V471" s="1">
        <v>0.53802577224600168</v>
      </c>
      <c r="W471" s="1">
        <v>63.753805976430975</v>
      </c>
      <c r="X471" s="1">
        <v>0.42598782456164885</v>
      </c>
      <c r="Y471" s="1">
        <v>24.952000716845873</v>
      </c>
      <c r="Z471" s="1">
        <v>0.43407085250175442</v>
      </c>
      <c r="AA471" s="1">
        <v>65.107794152046779</v>
      </c>
      <c r="AB471" s="1">
        <v>0.39005799521889389</v>
      </c>
      <c r="AC471" s="1">
        <v>24.269775729646692</v>
      </c>
    </row>
    <row r="472" spans="1:29" x14ac:dyDescent="0.2">
      <c r="A472" s="1" t="s">
        <v>1637</v>
      </c>
      <c r="B472" s="1" t="str">
        <f t="shared" ca="1" si="7"/>
        <v>Open</v>
      </c>
      <c r="C472" s="1" t="s">
        <v>2770</v>
      </c>
      <c r="D472" s="1" t="s">
        <v>1638</v>
      </c>
      <c r="E472" s="1" t="s">
        <v>1639</v>
      </c>
      <c r="F472" s="1" t="s">
        <v>841</v>
      </c>
      <c r="G472" s="1" t="s">
        <v>1640</v>
      </c>
      <c r="H472" s="24">
        <v>45687</v>
      </c>
      <c r="I472" s="1"/>
      <c r="J472" s="1">
        <v>47.770507000000002</v>
      </c>
      <c r="K472" s="1">
        <v>107.252645</v>
      </c>
      <c r="L472" s="20">
        <v>0</v>
      </c>
      <c r="M472" s="20">
        <v>0.99930555555555556</v>
      </c>
      <c r="N472" s="1">
        <v>0.47720363901555546</v>
      </c>
      <c r="O472" s="1">
        <v>72.263225123456792</v>
      </c>
      <c r="P472" s="1">
        <v>0.57243518710308983</v>
      </c>
      <c r="Q472" s="1">
        <v>29.595055518477313</v>
      </c>
      <c r="R472" s="1">
        <v>0.4373944620555556</v>
      </c>
      <c r="S472" s="1">
        <v>53.423753086419744</v>
      </c>
      <c r="T472" s="1">
        <v>0.42819576907777779</v>
      </c>
      <c r="U472" s="1">
        <v>22.619827598566307</v>
      </c>
      <c r="V472" s="1">
        <v>0.39706874727589736</v>
      </c>
      <c r="W472" s="1">
        <v>49.47676615384615</v>
      </c>
      <c r="X472" s="1">
        <v>0.52312259130896055</v>
      </c>
      <c r="Y472" s="1">
        <v>24.4308164874552</v>
      </c>
      <c r="Z472" s="1">
        <v>0.401719406765432</v>
      </c>
      <c r="AA472" s="1">
        <v>77.308367686527106</v>
      </c>
      <c r="AB472" s="1">
        <v>0.39467146316013818</v>
      </c>
      <c r="AC472" s="1">
        <v>22.951241167434716</v>
      </c>
    </row>
    <row r="473" spans="1:29" x14ac:dyDescent="0.2">
      <c r="A473" s="1" t="s">
        <v>2388</v>
      </c>
      <c r="B473" s="1" t="str">
        <f t="shared" ca="1" si="7"/>
        <v>Open</v>
      </c>
      <c r="C473" s="1" t="s">
        <v>2771</v>
      </c>
      <c r="D473" s="1" t="s">
        <v>2389</v>
      </c>
      <c r="E473" s="1" t="s">
        <v>2390</v>
      </c>
      <c r="F473" s="1" t="s">
        <v>2391</v>
      </c>
      <c r="G473" s="1" t="s">
        <v>2392</v>
      </c>
      <c r="H473" s="24">
        <v>45709</v>
      </c>
      <c r="I473" s="1"/>
      <c r="J473" s="1">
        <v>49.635488000000002</v>
      </c>
      <c r="K473" s="1">
        <v>100.19227600000001</v>
      </c>
      <c r="L473" s="20">
        <v>0</v>
      </c>
      <c r="M473" s="20">
        <v>0.99930555555555556</v>
      </c>
      <c r="N473" s="1">
        <v>0.8302241622510822</v>
      </c>
      <c r="O473" s="1">
        <v>127.95611255411256</v>
      </c>
      <c r="P473" s="1">
        <v>0.61235365403372743</v>
      </c>
      <c r="Q473" s="1">
        <v>37.038396075268821</v>
      </c>
      <c r="R473" s="1">
        <v>0.70842040670185169</v>
      </c>
      <c r="S473" s="1">
        <v>76.174977777777784</v>
      </c>
      <c r="T473" s="1">
        <v>0.62158555535829496</v>
      </c>
      <c r="U473" s="1">
        <v>32.294543778801831</v>
      </c>
      <c r="V473" s="1">
        <v>1.549117281640056</v>
      </c>
      <c r="W473" s="1">
        <v>202.23488398692814</v>
      </c>
      <c r="X473" s="1">
        <v>1.1745509508218392</v>
      </c>
      <c r="Y473" s="1">
        <v>59.193119540229894</v>
      </c>
      <c r="Z473" s="1">
        <v>1.0811038016136754</v>
      </c>
      <c r="AA473" s="1">
        <v>144.62513589743591</v>
      </c>
      <c r="AB473" s="1">
        <v>0.41922145005580269</v>
      </c>
      <c r="AC473" s="1">
        <v>26.631947322421734</v>
      </c>
    </row>
    <row r="474" spans="1:29" x14ac:dyDescent="0.2">
      <c r="A474" s="1" t="s">
        <v>2393</v>
      </c>
      <c r="B474" s="1" t="str">
        <f t="shared" ca="1" si="7"/>
        <v>Open</v>
      </c>
      <c r="C474" s="1" t="s">
        <v>2771</v>
      </c>
      <c r="D474" s="1" t="s">
        <v>2394</v>
      </c>
      <c r="E474" s="1" t="s">
        <v>2395</v>
      </c>
      <c r="F474" s="1" t="s">
        <v>2391</v>
      </c>
      <c r="G474" s="1" t="s">
        <v>2396</v>
      </c>
      <c r="H474" s="24">
        <v>45708</v>
      </c>
      <c r="I474" s="1"/>
      <c r="J474" s="1">
        <v>49.637149999999998</v>
      </c>
      <c r="K474" s="1">
        <v>100.16565</v>
      </c>
      <c r="L474" s="20">
        <v>0</v>
      </c>
      <c r="M474" s="20">
        <v>0.99930555555555556</v>
      </c>
      <c r="N474" s="1">
        <v>0.94272279436174244</v>
      </c>
      <c r="O474" s="1">
        <v>138.93041919191919</v>
      </c>
      <c r="P474" s="1">
        <v>0.95899593993860199</v>
      </c>
      <c r="Q474" s="1">
        <v>47.982595573476708</v>
      </c>
      <c r="R474" s="1">
        <v>1.0885717593012265</v>
      </c>
      <c r="S474" s="1">
        <v>108.56640584415584</v>
      </c>
      <c r="T474" s="1">
        <v>0.72011031726955854</v>
      </c>
      <c r="U474" s="1">
        <v>46.7815354097145</v>
      </c>
      <c r="V474" s="1">
        <v>1.9582647782703706</v>
      </c>
      <c r="W474" s="1">
        <v>264.47775740740741</v>
      </c>
      <c r="X474" s="1">
        <v>1.8309474609714746</v>
      </c>
      <c r="Y474" s="1">
        <v>92.764292918057109</v>
      </c>
      <c r="Z474" s="1">
        <v>0.85106623874999998</v>
      </c>
      <c r="AA474" s="1">
        <v>126.56493044871797</v>
      </c>
      <c r="AB474" s="1">
        <v>0.52268134121390164</v>
      </c>
      <c r="AC474" s="1">
        <v>33.90662596006144</v>
      </c>
    </row>
    <row r="475" spans="1:29" x14ac:dyDescent="0.2">
      <c r="A475" s="1" t="s">
        <v>2397</v>
      </c>
      <c r="B475" s="1" t="str">
        <f t="shared" ca="1" si="7"/>
        <v>Open</v>
      </c>
      <c r="C475" s="1" t="s">
        <v>2771</v>
      </c>
      <c r="D475" s="1" t="s">
        <v>2398</v>
      </c>
      <c r="E475" s="1" t="s">
        <v>2399</v>
      </c>
      <c r="F475" s="1" t="s">
        <v>2391</v>
      </c>
      <c r="G475" s="1" t="s">
        <v>2683</v>
      </c>
      <c r="H475" s="24">
        <v>45710</v>
      </c>
      <c r="I475" s="1"/>
      <c r="J475" s="1">
        <v>49.635415000000002</v>
      </c>
      <c r="K475" s="1">
        <v>100.16527000000001</v>
      </c>
      <c r="L475" s="20">
        <v>0</v>
      </c>
      <c r="M475" s="20">
        <v>0.99930555555555556</v>
      </c>
      <c r="N475" s="1">
        <v>0.89908825934268999</v>
      </c>
      <c r="O475" s="1">
        <v>134.14661666666666</v>
      </c>
      <c r="P475" s="1">
        <v>1.232834075810932</v>
      </c>
      <c r="Q475" s="1">
        <v>76.862961971326172</v>
      </c>
      <c r="R475" s="1">
        <v>0.71789019969166656</v>
      </c>
      <c r="S475" s="1">
        <v>101.86970694444443</v>
      </c>
      <c r="T475" s="1">
        <v>0.75406983433727615</v>
      </c>
      <c r="U475" s="1">
        <v>53.446331899641564</v>
      </c>
      <c r="V475" s="1">
        <v>1.001671908957672</v>
      </c>
      <c r="W475" s="1">
        <v>138.51341656491658</v>
      </c>
      <c r="X475" s="1">
        <v>0.91976751700788528</v>
      </c>
      <c r="Y475" s="1">
        <v>50.896535483870963</v>
      </c>
      <c r="Z475" s="1">
        <v>0.60081607812167825</v>
      </c>
      <c r="AA475" s="1">
        <v>107.3199668997669</v>
      </c>
      <c r="AB475" s="1">
        <v>0.66571172925652844</v>
      </c>
      <c r="AC475" s="1">
        <v>50.13287365591399</v>
      </c>
    </row>
    <row r="476" spans="1:29" x14ac:dyDescent="0.2">
      <c r="A476" s="1" t="s">
        <v>2400</v>
      </c>
      <c r="B476" s="1" t="str">
        <f t="shared" ca="1" si="7"/>
        <v>Open</v>
      </c>
      <c r="C476" s="1" t="s">
        <v>2771</v>
      </c>
      <c r="D476" s="1" t="s">
        <v>2401</v>
      </c>
      <c r="E476" s="1" t="s">
        <v>2402</v>
      </c>
      <c r="F476" s="1" t="s">
        <v>2280</v>
      </c>
      <c r="G476" s="1" t="s">
        <v>2684</v>
      </c>
      <c r="H476" s="24">
        <v>45713</v>
      </c>
      <c r="I476" s="1"/>
      <c r="J476" s="1">
        <v>44.893189999999997</v>
      </c>
      <c r="K476" s="1">
        <v>110.14084</v>
      </c>
      <c r="L476" s="20">
        <v>0</v>
      </c>
      <c r="M476" s="20">
        <v>0.99930555555555556</v>
      </c>
      <c r="N476" s="1">
        <v>1.1399215375187728</v>
      </c>
      <c r="O476" s="1">
        <v>161.00731773879147</v>
      </c>
      <c r="P476" s="1">
        <v>1.5007925437358427</v>
      </c>
      <c r="Q476" s="1">
        <v>94.788555555555547</v>
      </c>
      <c r="R476" s="1">
        <v>1.208839346306043</v>
      </c>
      <c r="S476" s="1">
        <v>145.86924463937623</v>
      </c>
      <c r="T476" s="1">
        <v>1.294197469514337</v>
      </c>
      <c r="U476" s="1">
        <v>88.667525089605718</v>
      </c>
      <c r="V476" s="1">
        <v>1.4748499962974309</v>
      </c>
      <c r="W476" s="1">
        <v>183.99065283267456</v>
      </c>
      <c r="X476" s="1">
        <v>1.6310622963150541</v>
      </c>
      <c r="Y476" s="1">
        <v>93.501918637992802</v>
      </c>
      <c r="Z476" s="1">
        <v>1.097672463501852</v>
      </c>
      <c r="AA476" s="1">
        <v>178.37799126984126</v>
      </c>
      <c r="AB476" s="1">
        <v>1.0909357650902458</v>
      </c>
      <c r="AC476" s="1">
        <v>85.330775729646689</v>
      </c>
    </row>
    <row r="477" spans="1:29" x14ac:dyDescent="0.2">
      <c r="A477" s="1" t="s">
        <v>2403</v>
      </c>
      <c r="B477" s="1" t="str">
        <f t="shared" ca="1" si="7"/>
        <v>Open</v>
      </c>
      <c r="C477" s="1" t="s">
        <v>2771</v>
      </c>
      <c r="D477" s="1" t="s">
        <v>2404</v>
      </c>
      <c r="E477" s="1" t="s">
        <v>2405</v>
      </c>
      <c r="F477" s="1" t="s">
        <v>2276</v>
      </c>
      <c r="G477" s="1" t="s">
        <v>2685</v>
      </c>
      <c r="H477" s="24">
        <v>45698</v>
      </c>
      <c r="I477" s="1"/>
      <c r="J477" s="1">
        <v>45.765693900000002</v>
      </c>
      <c r="K477" s="1">
        <v>106.273061</v>
      </c>
      <c r="L477" s="20">
        <v>0</v>
      </c>
      <c r="M477" s="20">
        <v>0.99930555555555556</v>
      </c>
      <c r="N477" s="1">
        <v>0.60120104340925928</v>
      </c>
      <c r="O477" s="1">
        <v>108.80104735449737</v>
      </c>
      <c r="P477" s="1">
        <v>0.51113670567670255</v>
      </c>
      <c r="Q477" s="1">
        <v>31.71650860215053</v>
      </c>
      <c r="R477" s="1">
        <v>0.4947857649177631</v>
      </c>
      <c r="S477" s="1">
        <v>67.136104166666669</v>
      </c>
      <c r="T477" s="1">
        <v>0.43818796952222222</v>
      </c>
      <c r="U477" s="1">
        <v>29.852998566308241</v>
      </c>
      <c r="V477" s="1">
        <v>0.89265877329255783</v>
      </c>
      <c r="W477" s="1">
        <v>144.48380369875224</v>
      </c>
      <c r="X477" s="1">
        <v>0.63306108166559139</v>
      </c>
      <c r="Y477" s="1">
        <v>45.206621863799278</v>
      </c>
      <c r="Z477" s="1">
        <v>0.6844449216206141</v>
      </c>
      <c r="AA477" s="1">
        <v>137.74126973684213</v>
      </c>
      <c r="AB477" s="1">
        <v>0.38155232742818751</v>
      </c>
      <c r="AC477" s="1">
        <v>31.251036866359453</v>
      </c>
    </row>
    <row r="478" spans="1:29" x14ac:dyDescent="0.2">
      <c r="A478" s="1" t="s">
        <v>2406</v>
      </c>
      <c r="B478" s="1" t="str">
        <f t="shared" ca="1" si="7"/>
        <v>Open</v>
      </c>
      <c r="C478" s="1" t="s">
        <v>2771</v>
      </c>
      <c r="D478" s="1" t="s">
        <v>2407</v>
      </c>
      <c r="E478" s="1" t="s">
        <v>2408</v>
      </c>
      <c r="F478" s="1" t="s">
        <v>2409</v>
      </c>
      <c r="G478" s="1" t="s">
        <v>2686</v>
      </c>
      <c r="H478" s="24">
        <v>45715</v>
      </c>
      <c r="I478" s="1"/>
      <c r="J478" s="1">
        <v>49.172580000000004</v>
      </c>
      <c r="K478" s="1">
        <v>104.82453</v>
      </c>
      <c r="L478" s="20">
        <v>0</v>
      </c>
      <c r="M478" s="20">
        <v>0.99930555555555556</v>
      </c>
      <c r="N478" s="1">
        <v>0.81810192980804952</v>
      </c>
      <c r="O478" s="1">
        <v>132.32446062951496</v>
      </c>
      <c r="P478" s="1">
        <v>0.78392663430218745</v>
      </c>
      <c r="Q478" s="1">
        <v>32.500654060066744</v>
      </c>
      <c r="R478" s="1">
        <v>0.76219864143578653</v>
      </c>
      <c r="S478" s="1">
        <v>108.62470562770564</v>
      </c>
      <c r="T478" s="1">
        <v>0.7887448381129033</v>
      </c>
      <c r="U478" s="1">
        <v>35.856888888888889</v>
      </c>
      <c r="V478" s="1">
        <v>1.3302560766868685</v>
      </c>
      <c r="W478" s="1">
        <v>177.73991414141415</v>
      </c>
      <c r="X478" s="1">
        <v>1.260459048627957</v>
      </c>
      <c r="Y478" s="1">
        <v>54.97702043010753</v>
      </c>
      <c r="Z478" s="1">
        <v>0.77978174481095852</v>
      </c>
      <c r="AA478" s="1">
        <v>135.97023387575217</v>
      </c>
      <c r="AB478" s="1">
        <v>0.89623548151382482</v>
      </c>
      <c r="AC478" s="1">
        <v>42.149499231950848</v>
      </c>
    </row>
    <row r="479" spans="1:29" x14ac:dyDescent="0.2">
      <c r="A479" s="1" t="s">
        <v>2410</v>
      </c>
      <c r="B479" s="1" t="str">
        <f t="shared" ca="1" si="7"/>
        <v>Open</v>
      </c>
      <c r="C479" s="1" t="s">
        <v>2771</v>
      </c>
      <c r="D479" s="1" t="s">
        <v>2411</v>
      </c>
      <c r="E479" s="1" t="s">
        <v>2412</v>
      </c>
      <c r="F479" s="1" t="s">
        <v>2167</v>
      </c>
      <c r="G479" s="1" t="s">
        <v>2413</v>
      </c>
      <c r="H479" s="24">
        <v>45715</v>
      </c>
      <c r="I479" s="1"/>
      <c r="J479" s="1">
        <v>49.487985999999999</v>
      </c>
      <c r="K479" s="1">
        <v>105.93840899999999</v>
      </c>
      <c r="L479" s="20">
        <v>0</v>
      </c>
      <c r="M479" s="20">
        <v>0.99930555555555556</v>
      </c>
      <c r="N479" s="1">
        <v>0.69187123883095236</v>
      </c>
      <c r="O479" s="1">
        <v>106.5566829004329</v>
      </c>
      <c r="P479" s="1">
        <v>0.60955373276379932</v>
      </c>
      <c r="Q479" s="1">
        <v>36.343027598566316</v>
      </c>
      <c r="R479" s="1">
        <v>0.63851543168154901</v>
      </c>
      <c r="S479" s="1">
        <v>86.939602828282815</v>
      </c>
      <c r="T479" s="1">
        <v>0.7099589755661847</v>
      </c>
      <c r="U479" s="1">
        <v>37.698582499073048</v>
      </c>
      <c r="V479" s="1">
        <v>0.57310110558881577</v>
      </c>
      <c r="W479" s="1">
        <v>74.149283991228074</v>
      </c>
      <c r="X479" s="1">
        <v>0.49959903569744157</v>
      </c>
      <c r="Y479" s="1">
        <v>27.238555802743793</v>
      </c>
      <c r="Z479" s="1">
        <v>0.6106401594436508</v>
      </c>
      <c r="AA479" s="1">
        <v>102.90505853174602</v>
      </c>
      <c r="AB479" s="1">
        <v>0.44954658313709678</v>
      </c>
      <c r="AC479" s="1">
        <v>27.416213517665131</v>
      </c>
    </row>
    <row r="480" spans="1:29" x14ac:dyDescent="0.2">
      <c r="A480" s="1" t="s">
        <v>2414</v>
      </c>
      <c r="B480" s="1" t="str">
        <f t="shared" ca="1" si="7"/>
        <v>Open</v>
      </c>
      <c r="C480" s="1" t="s">
        <v>2771</v>
      </c>
      <c r="D480" s="1" t="s">
        <v>2415</v>
      </c>
      <c r="E480" s="1" t="s">
        <v>2416</v>
      </c>
      <c r="F480" s="1" t="s">
        <v>2417</v>
      </c>
      <c r="G480" s="1" t="s">
        <v>2418</v>
      </c>
      <c r="H480" s="24">
        <v>45715</v>
      </c>
      <c r="I480" s="1"/>
      <c r="J480" s="1">
        <v>49.377941</v>
      </c>
      <c r="K480" s="1">
        <v>105.9161</v>
      </c>
      <c r="L480" s="20">
        <v>0</v>
      </c>
      <c r="M480" s="20">
        <v>0.99930555555555556</v>
      </c>
      <c r="N480" s="1">
        <v>0.65507428391132894</v>
      </c>
      <c r="O480" s="1">
        <v>89.540910021786488</v>
      </c>
      <c r="P480" s="1">
        <v>0.38443137833082425</v>
      </c>
      <c r="Q480" s="1">
        <v>26.842292473118281</v>
      </c>
      <c r="R480" s="1">
        <v>0.60189416567810472</v>
      </c>
      <c r="S480" s="1">
        <v>85.043546623093675</v>
      </c>
      <c r="T480" s="1">
        <v>0.37676686456164871</v>
      </c>
      <c r="U480" s="1">
        <v>25.768149103942658</v>
      </c>
      <c r="V480" s="1">
        <v>1.2037906165763157</v>
      </c>
      <c r="W480" s="1">
        <v>159.73097368421054</v>
      </c>
      <c r="X480" s="1">
        <v>0.90579190205066151</v>
      </c>
      <c r="Y480" s="1">
        <v>51.485712136942276</v>
      </c>
      <c r="Z480" s="1">
        <v>0.69709645841269852</v>
      </c>
      <c r="AA480" s="1">
        <v>120.86610119047619</v>
      </c>
      <c r="AB480" s="1">
        <v>0.37752534553046591</v>
      </c>
      <c r="AC480" s="1">
        <v>31.451553166069299</v>
      </c>
    </row>
    <row r="481" spans="1:29" x14ac:dyDescent="0.2">
      <c r="A481" s="1" t="s">
        <v>1641</v>
      </c>
      <c r="B481" s="1" t="str">
        <f t="shared" ca="1" si="7"/>
        <v>Open</v>
      </c>
      <c r="C481" s="1" t="s">
        <v>2770</v>
      </c>
      <c r="D481" s="1" t="s">
        <v>1642</v>
      </c>
      <c r="E481" s="1" t="s">
        <v>1643</v>
      </c>
      <c r="F481" s="1" t="s">
        <v>48</v>
      </c>
      <c r="G481" s="1" t="s">
        <v>1644</v>
      </c>
      <c r="H481" s="24">
        <v>45799</v>
      </c>
      <c r="I481" s="1"/>
      <c r="J481" s="1">
        <v>47.807519999999997</v>
      </c>
      <c r="K481" s="1">
        <v>107.19427</v>
      </c>
      <c r="L481" s="20">
        <v>0</v>
      </c>
      <c r="M481" s="20">
        <v>0.99930555555555556</v>
      </c>
      <c r="N481" s="1">
        <v>0.62574067127279198</v>
      </c>
      <c r="O481" s="1">
        <v>114.39577124881292</v>
      </c>
      <c r="P481" s="1">
        <v>0.40424122244731192</v>
      </c>
      <c r="Q481" s="1">
        <v>25.537831899641578</v>
      </c>
      <c r="R481" s="1">
        <v>0.58226140829203799</v>
      </c>
      <c r="S481" s="1">
        <v>72.856058399730571</v>
      </c>
      <c r="T481" s="1">
        <v>0.60865282798807174</v>
      </c>
      <c r="U481" s="1">
        <v>37.39792832940028</v>
      </c>
      <c r="V481" s="1">
        <v>0.78644364852055559</v>
      </c>
      <c r="W481" s="1">
        <v>110.17459722222223</v>
      </c>
      <c r="X481" s="1">
        <v>0.53425190629354835</v>
      </c>
      <c r="Y481" s="1">
        <v>31.627511469534046</v>
      </c>
      <c r="Z481" s="1">
        <v>0.44980769331669362</v>
      </c>
      <c r="AA481" s="1">
        <v>82.623559849704762</v>
      </c>
      <c r="AB481" s="1">
        <v>0.32242291540629803</v>
      </c>
      <c r="AC481" s="1">
        <v>20.868801843317971</v>
      </c>
    </row>
    <row r="482" spans="1:29" x14ac:dyDescent="0.2">
      <c r="A482" s="1" t="s">
        <v>1645</v>
      </c>
      <c r="B482" s="1" t="str">
        <f t="shared" ca="1" si="7"/>
        <v>Open</v>
      </c>
      <c r="C482" s="1" t="s">
        <v>2770</v>
      </c>
      <c r="D482" s="1" t="s">
        <v>1646</v>
      </c>
      <c r="E482" s="1" t="s">
        <v>1647</v>
      </c>
      <c r="F482" s="1" t="s">
        <v>64</v>
      </c>
      <c r="G482" s="1" t="s">
        <v>2687</v>
      </c>
      <c r="H482" s="24">
        <v>45729</v>
      </c>
      <c r="I482" s="1"/>
      <c r="J482" s="1">
        <v>47.901990900000001</v>
      </c>
      <c r="K482" s="1">
        <v>106.903319</v>
      </c>
      <c r="L482" s="20">
        <v>0</v>
      </c>
      <c r="M482" s="20">
        <v>0.99930555555555556</v>
      </c>
      <c r="N482" s="1">
        <v>0.50203061548480532</v>
      </c>
      <c r="O482" s="1">
        <v>99.409755935422581</v>
      </c>
      <c r="P482" s="1">
        <v>0.83455534042186352</v>
      </c>
      <c r="Q482" s="1">
        <v>35.335909318996407</v>
      </c>
      <c r="R482" s="1">
        <v>0.63529275131170004</v>
      </c>
      <c r="S482" s="1">
        <v>99.814966552706551</v>
      </c>
      <c r="T482" s="1">
        <v>0.76640104572652323</v>
      </c>
      <c r="U482" s="1">
        <v>35.860317204301076</v>
      </c>
      <c r="V482" s="1">
        <v>0.59977915467908838</v>
      </c>
      <c r="W482" s="1">
        <v>107.09785352326685</v>
      </c>
      <c r="X482" s="1">
        <v>0.74886795702903219</v>
      </c>
      <c r="Y482" s="1">
        <v>30.309330107526876</v>
      </c>
      <c r="Z482" s="1">
        <v>0.45376636628770811</v>
      </c>
      <c r="AA482" s="1">
        <v>83.941183574879219</v>
      </c>
      <c r="AB482" s="1">
        <v>0.69791698963095239</v>
      </c>
      <c r="AC482" s="1">
        <v>27.975410906297999</v>
      </c>
    </row>
    <row r="483" spans="1:29" x14ac:dyDescent="0.2">
      <c r="A483" s="1" t="s">
        <v>1648</v>
      </c>
      <c r="B483" s="1" t="str">
        <f t="shared" ca="1" si="7"/>
        <v>Open</v>
      </c>
      <c r="C483" s="1" t="s">
        <v>2770</v>
      </c>
      <c r="D483" s="1" t="s">
        <v>1649</v>
      </c>
      <c r="E483" s="1" t="s">
        <v>1650</v>
      </c>
      <c r="F483" s="1" t="s">
        <v>11</v>
      </c>
      <c r="G483" s="1" t="s">
        <v>1651</v>
      </c>
      <c r="H483" s="24">
        <v>45819</v>
      </c>
      <c r="I483" s="1"/>
      <c r="J483" s="1">
        <v>47.915469999999999</v>
      </c>
      <c r="K483" s="1">
        <v>106.91954</v>
      </c>
      <c r="L483" s="20">
        <v>0.29166666666666669</v>
      </c>
      <c r="M483" s="20">
        <v>0.99930555555555556</v>
      </c>
      <c r="N483" s="1">
        <v>0.39215347877876533</v>
      </c>
      <c r="O483" s="1">
        <v>67.677009876543195</v>
      </c>
      <c r="P483" s="1">
        <v>0.42816925347060936</v>
      </c>
      <c r="Q483" s="1">
        <v>34.092817921146953</v>
      </c>
      <c r="R483" s="1">
        <v>0.72719816999697395</v>
      </c>
      <c r="S483" s="1">
        <v>99.619300868809091</v>
      </c>
      <c r="T483" s="1">
        <v>0.88506555986305069</v>
      </c>
      <c r="U483" s="1">
        <v>50.612571815874936</v>
      </c>
      <c r="V483" s="1">
        <v>0.54302339228412699</v>
      </c>
      <c r="W483" s="1">
        <v>74.946944021164015</v>
      </c>
      <c r="X483" s="1">
        <v>0.36587688388093303</v>
      </c>
      <c r="Y483" s="1">
        <v>24.246899682586555</v>
      </c>
      <c r="Z483" s="1">
        <v>0.46198209481054126</v>
      </c>
      <c r="AA483" s="1">
        <v>75.531666666666666</v>
      </c>
      <c r="AB483" s="1">
        <v>0.61060259341497569</v>
      </c>
      <c r="AC483" s="1">
        <v>51.118174396135259</v>
      </c>
    </row>
    <row r="484" spans="1:29" x14ac:dyDescent="0.2">
      <c r="A484" s="1" t="s">
        <v>1652</v>
      </c>
      <c r="B484" s="1" t="str">
        <f t="shared" ca="1" si="7"/>
        <v>Open</v>
      </c>
      <c r="C484" s="1" t="s">
        <v>2770</v>
      </c>
      <c r="D484" s="1" t="s">
        <v>1653</v>
      </c>
      <c r="E484" s="1" t="s">
        <v>1654</v>
      </c>
      <c r="F484" s="1" t="s">
        <v>64</v>
      </c>
      <c r="G484" s="1" t="s">
        <v>1655</v>
      </c>
      <c r="H484" s="24">
        <v>45707</v>
      </c>
      <c r="I484" s="1"/>
      <c r="J484" s="1">
        <v>47.899929999999998</v>
      </c>
      <c r="K484" s="1">
        <v>106.92149000000001</v>
      </c>
      <c r="L484" s="20">
        <v>0</v>
      </c>
      <c r="M484" s="20">
        <v>0.99930555555555556</v>
      </c>
      <c r="N484" s="1">
        <v>0.59209619419570714</v>
      </c>
      <c r="O484" s="1">
        <v>108.55982150451887</v>
      </c>
      <c r="P484" s="1">
        <v>0.7770320237620072</v>
      </c>
      <c r="Q484" s="1">
        <v>33.970301433691766</v>
      </c>
      <c r="R484" s="1">
        <v>0.56655961397397447</v>
      </c>
      <c r="S484" s="1">
        <v>91.319125555555573</v>
      </c>
      <c r="T484" s="1">
        <v>0.7925086226501793</v>
      </c>
      <c r="U484" s="1">
        <v>39.867901075268811</v>
      </c>
      <c r="V484" s="1">
        <v>0.78911673860072462</v>
      </c>
      <c r="W484" s="1">
        <v>122.46897463768119</v>
      </c>
      <c r="X484" s="1">
        <v>0.82283180520179211</v>
      </c>
      <c r="Y484" s="1">
        <v>42.194693548387079</v>
      </c>
      <c r="Z484" s="1">
        <v>0.5381346742741201</v>
      </c>
      <c r="AA484" s="1">
        <v>99.826006556245716</v>
      </c>
      <c r="AB484" s="1">
        <v>0.42493233494777272</v>
      </c>
      <c r="AC484" s="1">
        <v>32.365623655913971</v>
      </c>
    </row>
    <row r="485" spans="1:29" x14ac:dyDescent="0.2">
      <c r="A485" s="1" t="s">
        <v>2419</v>
      </c>
      <c r="B485" s="1" t="str">
        <f t="shared" ca="1" si="7"/>
        <v>Open</v>
      </c>
      <c r="C485" s="1" t="s">
        <v>2771</v>
      </c>
      <c r="D485" s="1" t="s">
        <v>2420</v>
      </c>
      <c r="E485" s="1" t="s">
        <v>2421</v>
      </c>
      <c r="F485" s="1" t="s">
        <v>2374</v>
      </c>
      <c r="G485" s="1" t="s">
        <v>2422</v>
      </c>
      <c r="H485" s="24">
        <v>45708</v>
      </c>
      <c r="I485" s="1"/>
      <c r="J485" s="1">
        <v>47.473740599999999</v>
      </c>
      <c r="K485" s="1">
        <v>101.458651</v>
      </c>
      <c r="L485" s="20">
        <v>0</v>
      </c>
      <c r="M485" s="20">
        <v>0.99930555555555556</v>
      </c>
      <c r="N485" s="1">
        <v>0.55822644156481493</v>
      </c>
      <c r="O485" s="1">
        <v>80.024706018518515</v>
      </c>
      <c r="P485" s="1">
        <v>0.52195748965483868</v>
      </c>
      <c r="Q485" s="1">
        <v>38.378605017921153</v>
      </c>
      <c r="R485" s="1">
        <v>0.453011911865497</v>
      </c>
      <c r="S485" s="1">
        <v>51.075678460038979</v>
      </c>
      <c r="T485" s="1">
        <v>0.59784288887419335</v>
      </c>
      <c r="U485" s="1">
        <v>28.577898566308246</v>
      </c>
      <c r="V485" s="1">
        <v>0.83597977304064308</v>
      </c>
      <c r="W485" s="1">
        <v>108.64653698830411</v>
      </c>
      <c r="X485" s="1">
        <v>0.74757324324397467</v>
      </c>
      <c r="Y485" s="1">
        <v>42.195659621801987</v>
      </c>
      <c r="Z485" s="1">
        <v>0.50864472087100099</v>
      </c>
      <c r="AA485" s="1">
        <v>82.210167182662545</v>
      </c>
      <c r="AB485" s="1">
        <v>0.36582581290245769</v>
      </c>
      <c r="AC485" s="1">
        <v>28.484705837173589</v>
      </c>
    </row>
    <row r="486" spans="1:29" x14ac:dyDescent="0.2">
      <c r="A486" s="1" t="s">
        <v>2423</v>
      </c>
      <c r="B486" s="1" t="str">
        <f t="shared" ca="1" si="7"/>
        <v>Open</v>
      </c>
      <c r="C486" s="1" t="s">
        <v>2771</v>
      </c>
      <c r="D486" s="1" t="s">
        <v>2424</v>
      </c>
      <c r="E486" s="1" t="s">
        <v>2425</v>
      </c>
      <c r="F486" s="1" t="s">
        <v>2232</v>
      </c>
      <c r="G486" s="1" t="s">
        <v>2426</v>
      </c>
      <c r="H486" s="24">
        <v>45756</v>
      </c>
      <c r="I486" s="1"/>
      <c r="J486" s="1">
        <v>46.350670000000001</v>
      </c>
      <c r="K486" s="1">
        <v>108.38377</v>
      </c>
      <c r="L486" s="20">
        <v>0</v>
      </c>
      <c r="M486" s="20">
        <v>0.99930555555555556</v>
      </c>
      <c r="N486" s="1">
        <v>1.8738514325745681</v>
      </c>
      <c r="O486" s="1">
        <v>278.03795116809124</v>
      </c>
      <c r="P486" s="1">
        <v>1.7976223891756271</v>
      </c>
      <c r="Q486" s="1">
        <v>138.27028172043012</v>
      </c>
      <c r="R486" s="1">
        <v>2.2149632170857951</v>
      </c>
      <c r="S486" s="1">
        <v>254.81953928624981</v>
      </c>
      <c r="T486" s="1">
        <v>1.7525872984745845</v>
      </c>
      <c r="U486" s="1">
        <v>122.60654447702832</v>
      </c>
      <c r="V486" s="1">
        <v>2.5964227484557267</v>
      </c>
      <c r="W486" s="1">
        <v>310.72156235517571</v>
      </c>
      <c r="X486" s="1">
        <v>2.1617280929419356</v>
      </c>
      <c r="Y486" s="1">
        <v>165.19225878136203</v>
      </c>
      <c r="Z486" s="1">
        <v>1.4682423071790121</v>
      </c>
      <c r="AA486" s="1">
        <v>246.57492129629631</v>
      </c>
      <c r="AB486" s="1">
        <v>1.3310997323375575</v>
      </c>
      <c r="AC486" s="1">
        <v>117.17716858678955</v>
      </c>
    </row>
    <row r="487" spans="1:29" x14ac:dyDescent="0.2">
      <c r="A487" s="1" t="s">
        <v>2427</v>
      </c>
      <c r="B487" s="1" t="str">
        <f t="shared" ca="1" si="7"/>
        <v>Open</v>
      </c>
      <c r="C487" s="1" t="s">
        <v>2771</v>
      </c>
      <c r="D487" s="1" t="s">
        <v>2428</v>
      </c>
      <c r="E487" s="1" t="s">
        <v>2429</v>
      </c>
      <c r="F487" s="1" t="s">
        <v>2298</v>
      </c>
      <c r="G487" s="1" t="s">
        <v>2430</v>
      </c>
      <c r="H487" s="24">
        <v>45747</v>
      </c>
      <c r="I487" s="1"/>
      <c r="J487" s="1">
        <v>49.103121999999999</v>
      </c>
      <c r="K487" s="1">
        <v>105.547899</v>
      </c>
      <c r="L487" s="20">
        <v>0</v>
      </c>
      <c r="M487" s="20">
        <v>0.99930555555555556</v>
      </c>
      <c r="N487" s="1">
        <v>0.57970894196527778</v>
      </c>
      <c r="O487" s="1">
        <v>92.082240740740716</v>
      </c>
      <c r="P487" s="1">
        <v>0.40263878423914123</v>
      </c>
      <c r="Q487" s="1">
        <v>21.552081320514858</v>
      </c>
      <c r="R487" s="1">
        <v>0.36148568505415496</v>
      </c>
      <c r="S487" s="1">
        <v>45.791168067226891</v>
      </c>
      <c r="T487" s="1">
        <v>0.30612403098961816</v>
      </c>
      <c r="U487" s="1">
        <v>19.938643678160922</v>
      </c>
      <c r="V487" s="1">
        <v>0.65836674679415574</v>
      </c>
      <c r="W487" s="1">
        <v>73.021216017316021</v>
      </c>
      <c r="X487" s="1">
        <v>0.61948763929175632</v>
      </c>
      <c r="Y487" s="1">
        <v>31.741898207885296</v>
      </c>
      <c r="Z487" s="1">
        <v>0.61950701284343435</v>
      </c>
      <c r="AA487" s="1">
        <v>96.095975757575772</v>
      </c>
      <c r="AB487" s="1">
        <v>0.3890621509834869</v>
      </c>
      <c r="AC487" s="1">
        <v>21.655140937019979</v>
      </c>
    </row>
    <row r="488" spans="1:29" x14ac:dyDescent="0.2">
      <c r="A488" s="1" t="s">
        <v>2431</v>
      </c>
      <c r="B488" s="1" t="str">
        <f t="shared" ca="1" si="7"/>
        <v>Open</v>
      </c>
      <c r="C488" s="1" t="s">
        <v>2771</v>
      </c>
      <c r="D488" s="1" t="s">
        <v>2432</v>
      </c>
      <c r="E488" s="1" t="s">
        <v>2433</v>
      </c>
      <c r="F488" s="1" t="s">
        <v>2374</v>
      </c>
      <c r="G488" s="1" t="s">
        <v>2434</v>
      </c>
      <c r="H488" s="24">
        <v>45741</v>
      </c>
      <c r="I488" s="1"/>
      <c r="J488" s="1">
        <v>47.472619399999999</v>
      </c>
      <c r="K488" s="1">
        <v>101.46038</v>
      </c>
      <c r="L488" s="20">
        <v>0</v>
      </c>
      <c r="M488" s="20">
        <v>0.99930555555555556</v>
      </c>
      <c r="N488" s="1">
        <v>0.62371343320798311</v>
      </c>
      <c r="O488" s="1">
        <v>89.531427824463108</v>
      </c>
      <c r="P488" s="1">
        <v>0.30558148398467438</v>
      </c>
      <c r="Q488" s="1">
        <v>22.679261685823757</v>
      </c>
      <c r="R488" s="1">
        <v>0.66803496822954445</v>
      </c>
      <c r="S488" s="1">
        <v>82.165146395400271</v>
      </c>
      <c r="T488" s="1">
        <v>0.39393537596858225</v>
      </c>
      <c r="U488" s="1">
        <v>23.444943678160922</v>
      </c>
      <c r="V488" s="1">
        <v>0.88847943224124926</v>
      </c>
      <c r="W488" s="1">
        <v>113.55708187134503</v>
      </c>
      <c r="X488" s="1">
        <v>0.71932730996666672</v>
      </c>
      <c r="Y488" s="1">
        <v>26.860788888888891</v>
      </c>
      <c r="Z488" s="1">
        <v>0.54921223357010585</v>
      </c>
      <c r="AA488" s="1">
        <v>87.394052116402108</v>
      </c>
      <c r="AB488" s="1">
        <v>0.33955062304420558</v>
      </c>
      <c r="AC488" s="1">
        <v>20.109376344086019</v>
      </c>
    </row>
    <row r="489" spans="1:29" x14ac:dyDescent="0.2">
      <c r="A489" s="1" t="s">
        <v>2435</v>
      </c>
      <c r="B489" s="1" t="str">
        <f t="shared" ca="1" si="7"/>
        <v>Open</v>
      </c>
      <c r="C489" s="1" t="s">
        <v>2771</v>
      </c>
      <c r="D489" s="1" t="s">
        <v>2436</v>
      </c>
      <c r="E489" s="1" t="s">
        <v>2437</v>
      </c>
      <c r="F489" s="1" t="s">
        <v>2321</v>
      </c>
      <c r="G489" s="1" t="s">
        <v>2438</v>
      </c>
      <c r="H489" s="24">
        <v>45742</v>
      </c>
      <c r="I489" s="1"/>
      <c r="J489" s="1">
        <v>46.233696899999998</v>
      </c>
      <c r="K489" s="1">
        <v>102.783558</v>
      </c>
      <c r="L489" s="20">
        <v>0</v>
      </c>
      <c r="M489" s="20">
        <v>0.99930555555555556</v>
      </c>
      <c r="N489" s="1">
        <v>0.48052149836856062</v>
      </c>
      <c r="O489" s="1">
        <v>72.300920833333322</v>
      </c>
      <c r="P489" s="1">
        <v>0.47553205976881724</v>
      </c>
      <c r="Q489" s="1">
        <v>24.78237956989248</v>
      </c>
      <c r="R489" s="1">
        <v>0.5137145320452382</v>
      </c>
      <c r="S489" s="1">
        <v>63.340526190476197</v>
      </c>
      <c r="T489" s="1">
        <v>0.38924452836559142</v>
      </c>
      <c r="U489" s="1">
        <v>23.480070609318997</v>
      </c>
      <c r="V489" s="1">
        <v>0.97246138692999995</v>
      </c>
      <c r="W489" s="1">
        <v>118.4926901754386</v>
      </c>
      <c r="X489" s="1">
        <v>0.75006603895810142</v>
      </c>
      <c r="Y489" s="1">
        <v>45.059747126436783</v>
      </c>
      <c r="Z489" s="1">
        <v>0.633212237949074</v>
      </c>
      <c r="AA489" s="1">
        <v>95.224442129629622</v>
      </c>
      <c r="AB489" s="1">
        <v>0.4477115311927804</v>
      </c>
      <c r="AC489" s="1">
        <v>28.987869815668205</v>
      </c>
    </row>
    <row r="490" spans="1:29" x14ac:dyDescent="0.2">
      <c r="A490" s="1" t="s">
        <v>2439</v>
      </c>
      <c r="B490" s="1" t="str">
        <f t="shared" ca="1" si="7"/>
        <v>Open</v>
      </c>
      <c r="C490" s="1" t="s">
        <v>2771</v>
      </c>
      <c r="D490" s="1" t="s">
        <v>2440</v>
      </c>
      <c r="E490" s="1" t="s">
        <v>2441</v>
      </c>
      <c r="F490" s="1" t="s">
        <v>2262</v>
      </c>
      <c r="G490" s="1" t="s">
        <v>2442</v>
      </c>
      <c r="H490" s="24">
        <v>45746</v>
      </c>
      <c r="I490" s="1"/>
      <c r="J490" s="1">
        <v>50.239857399999998</v>
      </c>
      <c r="K490" s="1">
        <v>106.193631</v>
      </c>
      <c r="L490" s="20">
        <v>0</v>
      </c>
      <c r="M490" s="20">
        <v>0.99930555555555556</v>
      </c>
      <c r="N490" s="1">
        <v>0.44579259666797194</v>
      </c>
      <c r="O490" s="1">
        <v>68.972498642439447</v>
      </c>
      <c r="P490" s="1">
        <v>0.43534024851968844</v>
      </c>
      <c r="Q490" s="1">
        <v>27.962143863552097</v>
      </c>
      <c r="R490" s="1">
        <v>0.58826838052391406</v>
      </c>
      <c r="S490" s="1">
        <v>75.868881787802835</v>
      </c>
      <c r="T490" s="1">
        <v>0.57291565731827954</v>
      </c>
      <c r="U490" s="1">
        <v>33.589405376344082</v>
      </c>
      <c r="V490" s="1">
        <v>0.6117259042903439</v>
      </c>
      <c r="W490" s="1">
        <v>83.572804232804245</v>
      </c>
      <c r="X490" s="1">
        <v>0.59257685612272892</v>
      </c>
      <c r="Y490" s="1">
        <v>34.2394601408973</v>
      </c>
      <c r="Z490" s="1">
        <v>0.31386247931461986</v>
      </c>
      <c r="AA490" s="1">
        <v>50.39507192982456</v>
      </c>
      <c r="AB490" s="1">
        <v>0.40047344948031238</v>
      </c>
      <c r="AC490" s="1">
        <v>22.986341397849461</v>
      </c>
    </row>
    <row r="491" spans="1:29" x14ac:dyDescent="0.2">
      <c r="A491" s="1" t="s">
        <v>1656</v>
      </c>
      <c r="B491" s="1" t="str">
        <f t="shared" ca="1" si="7"/>
        <v>Open</v>
      </c>
      <c r="C491" s="1" t="s">
        <v>2770</v>
      </c>
      <c r="D491" s="1" t="s">
        <v>1657</v>
      </c>
      <c r="E491" s="1" t="s">
        <v>1658</v>
      </c>
      <c r="F491" s="1" t="s">
        <v>145</v>
      </c>
      <c r="G491" s="1" t="s">
        <v>1659</v>
      </c>
      <c r="H491" s="24">
        <v>45746</v>
      </c>
      <c r="I491" s="1"/>
      <c r="J491" s="1">
        <v>47.92906</v>
      </c>
      <c r="K491" s="1">
        <v>106.79546999999999</v>
      </c>
      <c r="L491" s="20">
        <v>0</v>
      </c>
      <c r="M491" s="20">
        <v>0.99930555555555556</v>
      </c>
      <c r="N491" s="1">
        <v>0.44630635505433985</v>
      </c>
      <c r="O491" s="1">
        <v>66.207736999050326</v>
      </c>
      <c r="P491" s="1">
        <v>0.5704388322799282</v>
      </c>
      <c r="Q491" s="1">
        <v>34.137061648745522</v>
      </c>
      <c r="R491" s="1">
        <v>0.37206888716346159</v>
      </c>
      <c r="S491" s="1">
        <v>39.975655982905991</v>
      </c>
      <c r="T491" s="1">
        <v>0.50742259088765296</v>
      </c>
      <c r="U491" s="1">
        <v>30.372467185761952</v>
      </c>
      <c r="V491" s="1">
        <v>0.45456509852647198</v>
      </c>
      <c r="W491" s="1">
        <v>53.214133903133892</v>
      </c>
      <c r="X491" s="1">
        <v>0.54169209606067248</v>
      </c>
      <c r="Y491" s="1">
        <v>31.101910369546406</v>
      </c>
      <c r="Z491" s="1">
        <v>0.41607263363660763</v>
      </c>
      <c r="AA491" s="1">
        <v>59.20236124530328</v>
      </c>
      <c r="AB491" s="1">
        <v>0.4170476089158987</v>
      </c>
      <c r="AC491" s="1">
        <v>26.570533794162817</v>
      </c>
    </row>
    <row r="492" spans="1:29" x14ac:dyDescent="0.2">
      <c r="A492" s="1" t="s">
        <v>1660</v>
      </c>
      <c r="B492" s="1" t="str">
        <f t="shared" ca="1" si="7"/>
        <v>Open</v>
      </c>
      <c r="C492" s="1" t="s">
        <v>2770</v>
      </c>
      <c r="D492" s="1" t="s">
        <v>1661</v>
      </c>
      <c r="E492" s="1" t="s">
        <v>1662</v>
      </c>
      <c r="F492" s="1" t="s">
        <v>145</v>
      </c>
      <c r="G492" s="1" t="s">
        <v>2688</v>
      </c>
      <c r="H492" s="24">
        <v>45745</v>
      </c>
      <c r="I492" s="1"/>
      <c r="J492" s="1">
        <v>47.956002900000001</v>
      </c>
      <c r="K492" s="1">
        <v>106.82615</v>
      </c>
      <c r="L492" s="20">
        <v>0</v>
      </c>
      <c r="M492" s="20">
        <v>0.99930555555555556</v>
      </c>
      <c r="N492" s="1">
        <v>0.34888039838450613</v>
      </c>
      <c r="O492" s="1">
        <v>50.889493456790113</v>
      </c>
      <c r="P492" s="1">
        <v>0.63883143445949819</v>
      </c>
      <c r="Q492" s="1">
        <v>20.256582437275984</v>
      </c>
      <c r="R492" s="1">
        <v>0.33510074979438276</v>
      </c>
      <c r="S492" s="1">
        <v>47.059878518518509</v>
      </c>
      <c r="T492" s="1">
        <v>0.63617290084157674</v>
      </c>
      <c r="U492" s="1">
        <v>24.076688530465955</v>
      </c>
      <c r="V492" s="1">
        <v>0.4630057139820371</v>
      </c>
      <c r="W492" s="1">
        <v>69.122284320987646</v>
      </c>
      <c r="X492" s="1">
        <v>0.51995471390860215</v>
      </c>
      <c r="Y492" s="1">
        <v>28.330391039426519</v>
      </c>
      <c r="Z492" s="1">
        <v>0.27652209373737374</v>
      </c>
      <c r="AA492" s="1">
        <v>48.605095959595957</v>
      </c>
      <c r="AB492" s="1">
        <v>0.41498544674769589</v>
      </c>
      <c r="AC492" s="1">
        <v>17.607083333333339</v>
      </c>
    </row>
    <row r="493" spans="1:29" x14ac:dyDescent="0.2">
      <c r="A493" s="1" t="s">
        <v>2443</v>
      </c>
      <c r="B493" s="1" t="str">
        <f t="shared" ca="1" si="7"/>
        <v>Open</v>
      </c>
      <c r="C493" s="1" t="s">
        <v>2771</v>
      </c>
      <c r="D493" s="1" t="s">
        <v>2444</v>
      </c>
      <c r="E493" s="1" t="s">
        <v>2445</v>
      </c>
      <c r="F493" s="1" t="s">
        <v>2446</v>
      </c>
      <c r="G493" s="1" t="s">
        <v>2447</v>
      </c>
      <c r="H493" s="24">
        <v>45770</v>
      </c>
      <c r="I493" s="1"/>
      <c r="J493" s="1">
        <v>46.191956599999997</v>
      </c>
      <c r="K493" s="1">
        <v>100.718363</v>
      </c>
      <c r="L493" s="20">
        <v>0</v>
      </c>
      <c r="M493" s="20">
        <v>0.99930555555555556</v>
      </c>
      <c r="N493" s="1">
        <v>1.2404017182685185</v>
      </c>
      <c r="O493" s="1">
        <v>190.93761481481485</v>
      </c>
      <c r="P493" s="1">
        <v>1.4023096612308246</v>
      </c>
      <c r="Q493" s="1">
        <v>90.650154838709682</v>
      </c>
      <c r="R493" s="1">
        <v>1.2695682265045456</v>
      </c>
      <c r="S493" s="1">
        <v>162.72691666666665</v>
      </c>
      <c r="T493" s="1">
        <v>1.6470514972002688</v>
      </c>
      <c r="U493" s="1">
        <v>98.13184408602153</v>
      </c>
      <c r="V493" s="1">
        <v>1.3039453671890835</v>
      </c>
      <c r="W493" s="1">
        <v>172.8224005847953</v>
      </c>
      <c r="X493" s="1">
        <v>1.3341412645924733</v>
      </c>
      <c r="Y493" s="1">
        <v>82.602743010752661</v>
      </c>
      <c r="Z493" s="1">
        <v>0.9813089699293599</v>
      </c>
      <c r="AA493" s="1">
        <v>148.39787089783283</v>
      </c>
      <c r="AB493" s="1">
        <v>0.99570471170622143</v>
      </c>
      <c r="AC493" s="1">
        <v>74.215751536098324</v>
      </c>
    </row>
    <row r="494" spans="1:29" x14ac:dyDescent="0.2">
      <c r="A494" s="1" t="s">
        <v>2448</v>
      </c>
      <c r="B494" s="1" t="str">
        <f t="shared" ca="1" si="7"/>
        <v>Open</v>
      </c>
      <c r="C494" s="1" t="s">
        <v>2771</v>
      </c>
      <c r="D494" s="1" t="s">
        <v>2449</v>
      </c>
      <c r="E494" s="1" t="s">
        <v>2450</v>
      </c>
      <c r="F494" s="1" t="s">
        <v>2446</v>
      </c>
      <c r="G494" s="1" t="s">
        <v>2451</v>
      </c>
      <c r="H494" s="24">
        <v>45770</v>
      </c>
      <c r="I494" s="1"/>
      <c r="J494" s="1">
        <v>46.18412</v>
      </c>
      <c r="K494" s="1">
        <v>100.71550999999999</v>
      </c>
      <c r="L494" s="20">
        <v>0</v>
      </c>
      <c r="M494" s="20">
        <v>0.99930555555555556</v>
      </c>
      <c r="N494" s="1">
        <v>0.45069988965185193</v>
      </c>
      <c r="O494" s="1">
        <v>68.558528306878301</v>
      </c>
      <c r="P494" s="1">
        <v>0.50716772995949821</v>
      </c>
      <c r="Q494" s="1">
        <v>31.098287455197138</v>
      </c>
      <c r="R494" s="1">
        <v>0.68313253450877198</v>
      </c>
      <c r="S494" s="1">
        <v>90.302627631578957</v>
      </c>
      <c r="T494" s="1">
        <v>0.74101439791666657</v>
      </c>
      <c r="U494" s="1">
        <v>44.818458333333346</v>
      </c>
      <c r="V494" s="1">
        <v>0.68459863173968249</v>
      </c>
      <c r="W494" s="1">
        <v>91.145702503052462</v>
      </c>
      <c r="X494" s="1">
        <v>0.69117988936917563</v>
      </c>
      <c r="Y494" s="1">
        <v>42.748448028673828</v>
      </c>
      <c r="Z494" s="1">
        <v>0.41825861658278868</v>
      </c>
      <c r="AA494" s="1">
        <v>81.091644880174286</v>
      </c>
      <c r="AB494" s="1">
        <v>0.37435482025422423</v>
      </c>
      <c r="AC494" s="1">
        <v>28.853058371735795</v>
      </c>
    </row>
    <row r="495" spans="1:29" x14ac:dyDescent="0.2">
      <c r="A495" s="1" t="s">
        <v>2452</v>
      </c>
      <c r="B495" s="1" t="str">
        <f t="shared" ca="1" si="7"/>
        <v>Open</v>
      </c>
      <c r="C495" s="1" t="s">
        <v>2771</v>
      </c>
      <c r="D495" s="1" t="s">
        <v>2453</v>
      </c>
      <c r="E495" s="1" t="s">
        <v>2454</v>
      </c>
      <c r="F495" s="1" t="s">
        <v>2446</v>
      </c>
      <c r="G495" s="1" t="s">
        <v>2455</v>
      </c>
      <c r="H495" s="24">
        <v>45770</v>
      </c>
      <c r="I495" s="1"/>
      <c r="J495" s="1">
        <v>46.193060099999997</v>
      </c>
      <c r="K495" s="1">
        <v>100.717039</v>
      </c>
      <c r="L495" s="20">
        <v>0.33333333333333331</v>
      </c>
      <c r="M495" s="20">
        <v>0.95833333333333337</v>
      </c>
      <c r="N495" s="1">
        <v>0.5584955206913117</v>
      </c>
      <c r="O495" s="1">
        <v>95.553414926204411</v>
      </c>
      <c r="P495" s="1">
        <v>0.66862615136666659</v>
      </c>
      <c r="Q495" s="1">
        <v>41.161466666666648</v>
      </c>
      <c r="R495" s="1">
        <v>0.65847573993325703</v>
      </c>
      <c r="S495" s="1">
        <v>86.669872362064567</v>
      </c>
      <c r="T495" s="1">
        <v>0.86590451828091408</v>
      </c>
      <c r="U495" s="1">
        <v>51.694264784946235</v>
      </c>
      <c r="V495" s="1">
        <v>0.45151932328349215</v>
      </c>
      <c r="W495" s="1">
        <v>64.743183347763349</v>
      </c>
      <c r="X495" s="1">
        <v>0.51027570145627243</v>
      </c>
      <c r="Y495" s="1">
        <v>34.605992831541215</v>
      </c>
      <c r="Z495" s="1">
        <v>0.34957253056228071</v>
      </c>
      <c r="AA495" s="1">
        <v>62.912850877192987</v>
      </c>
      <c r="AB495" s="1">
        <v>0.38864480946533525</v>
      </c>
      <c r="AC495" s="1">
        <v>27.760907706093192</v>
      </c>
    </row>
    <row r="496" spans="1:29" x14ac:dyDescent="0.2">
      <c r="A496" s="1" t="s">
        <v>1663</v>
      </c>
      <c r="B496" s="1" t="str">
        <f t="shared" ca="1" si="7"/>
        <v>Open</v>
      </c>
      <c r="C496" s="1" t="s">
        <v>2770</v>
      </c>
      <c r="D496" s="1" t="s">
        <v>1664</v>
      </c>
      <c r="E496" s="1" t="s">
        <v>1665</v>
      </c>
      <c r="F496" s="1" t="s">
        <v>145</v>
      </c>
      <c r="G496" s="1" t="s">
        <v>1666</v>
      </c>
      <c r="H496" s="24">
        <v>45768</v>
      </c>
      <c r="I496" s="1"/>
      <c r="J496" s="1">
        <v>47.911578900000002</v>
      </c>
      <c r="K496" s="1">
        <v>106.82601099999999</v>
      </c>
      <c r="L496" s="20">
        <v>0</v>
      </c>
      <c r="M496" s="20">
        <v>0.99930555555555556</v>
      </c>
      <c r="N496" s="1">
        <v>0.61325467691827162</v>
      </c>
      <c r="O496" s="1">
        <v>112.06816471035138</v>
      </c>
      <c r="P496" s="1">
        <v>0.69456967635555555</v>
      </c>
      <c r="Q496" s="1">
        <v>43.462933333333332</v>
      </c>
      <c r="R496" s="1">
        <v>0.61732955896747388</v>
      </c>
      <c r="S496" s="1">
        <v>85.420871557454902</v>
      </c>
      <c r="T496" s="1">
        <v>0.77323083172903218</v>
      </c>
      <c r="U496" s="1">
        <v>41.927807526881729</v>
      </c>
      <c r="V496" s="1">
        <v>0.87449066925284902</v>
      </c>
      <c r="W496" s="1">
        <v>120.88395916429253</v>
      </c>
      <c r="X496" s="1">
        <v>0.62296988739749093</v>
      </c>
      <c r="Y496" s="1">
        <v>44.637084946236577</v>
      </c>
      <c r="Z496" s="1">
        <v>0.46661837610950085</v>
      </c>
      <c r="AA496" s="1">
        <v>83.741253891572725</v>
      </c>
      <c r="AB496" s="1">
        <v>0.41192898486021501</v>
      </c>
      <c r="AC496" s="1">
        <v>35.516825652841774</v>
      </c>
    </row>
    <row r="497" spans="1:29" x14ac:dyDescent="0.2">
      <c r="A497" s="1" t="s">
        <v>2456</v>
      </c>
      <c r="B497" s="1" t="str">
        <f t="shared" ca="1" si="7"/>
        <v>Open</v>
      </c>
      <c r="C497" s="1" t="s">
        <v>2771</v>
      </c>
      <c r="D497" s="1" t="s">
        <v>2457</v>
      </c>
      <c r="E497" s="1" t="s">
        <v>2458</v>
      </c>
      <c r="F497" s="1" t="s">
        <v>2446</v>
      </c>
      <c r="G497" s="1" t="s">
        <v>2459</v>
      </c>
      <c r="H497" s="24">
        <v>45770</v>
      </c>
      <c r="I497" s="1"/>
      <c r="J497" s="1">
        <v>46.196130799999999</v>
      </c>
      <c r="K497" s="1">
        <v>100.715496</v>
      </c>
      <c r="L497" s="20">
        <v>0.33333333333333331</v>
      </c>
      <c r="M497" s="20">
        <v>0.95833333333333337</v>
      </c>
      <c r="N497" s="1">
        <v>0.59440791807518034</v>
      </c>
      <c r="O497" s="1">
        <v>120.00938585858587</v>
      </c>
      <c r="P497" s="1">
        <v>0.86294783161505373</v>
      </c>
      <c r="Q497" s="1">
        <v>50.838725806451606</v>
      </c>
      <c r="R497" s="1">
        <v>0.77307774977554811</v>
      </c>
      <c r="S497" s="1">
        <v>105.97613768115944</v>
      </c>
      <c r="T497" s="1">
        <v>0.9655701759287636</v>
      </c>
      <c r="U497" s="1">
        <v>66.611506720430114</v>
      </c>
      <c r="V497" s="1">
        <v>0.47962851404782719</v>
      </c>
      <c r="W497" s="1">
        <v>78.13281751686911</v>
      </c>
      <c r="X497" s="1">
        <v>0.62905405350358423</v>
      </c>
      <c r="Y497" s="1">
        <v>34.978512903225798</v>
      </c>
      <c r="Z497" s="1">
        <v>0.38343546522472849</v>
      </c>
      <c r="AA497" s="1">
        <v>94.355540517961572</v>
      </c>
      <c r="AB497" s="1">
        <v>0.50932947529262673</v>
      </c>
      <c r="AC497" s="1">
        <v>35.832635176651301</v>
      </c>
    </row>
    <row r="498" spans="1:29" x14ac:dyDescent="0.2">
      <c r="A498" s="1" t="s">
        <v>2460</v>
      </c>
      <c r="B498" s="1" t="str">
        <f t="shared" ca="1" si="7"/>
        <v>Open</v>
      </c>
      <c r="C498" s="1" t="s">
        <v>2771</v>
      </c>
      <c r="D498" s="1" t="s">
        <v>2461</v>
      </c>
      <c r="E498" s="1" t="s">
        <v>2462</v>
      </c>
      <c r="F498" s="1" t="s">
        <v>2227</v>
      </c>
      <c r="G498" s="1" t="s">
        <v>2463</v>
      </c>
      <c r="H498" s="24">
        <v>45787</v>
      </c>
      <c r="I498" s="1"/>
      <c r="J498" s="1">
        <v>47.867570499999999</v>
      </c>
      <c r="K498" s="1">
        <v>105.26062899999999</v>
      </c>
      <c r="L498" s="20">
        <v>0</v>
      </c>
      <c r="M498" s="20">
        <v>0.99930555555555556</v>
      </c>
      <c r="N498" s="1">
        <v>0.73596003182804226</v>
      </c>
      <c r="O498" s="1">
        <v>123.93076455026456</v>
      </c>
      <c r="P498" s="1">
        <v>0.52724402013333327</v>
      </c>
      <c r="Q498" s="1">
        <v>36.762706810035858</v>
      </c>
      <c r="R498" s="1">
        <v>0.63634779857792367</v>
      </c>
      <c r="S498" s="1">
        <v>81.911284616983096</v>
      </c>
      <c r="T498" s="1">
        <v>0.74307193897494039</v>
      </c>
      <c r="U498" s="1">
        <v>39.065234390006339</v>
      </c>
      <c r="V498" s="1">
        <v>1.5398623383368422</v>
      </c>
      <c r="W498" s="1">
        <v>188.30419456975767</v>
      </c>
      <c r="X498" s="1">
        <v>1.0819877948331478</v>
      </c>
      <c r="Y498" s="1">
        <v>74.909107526881712</v>
      </c>
      <c r="Z498" s="1">
        <v>0.79025084603274853</v>
      </c>
      <c r="AA498" s="1">
        <v>132.16376130604286</v>
      </c>
      <c r="AB498" s="1">
        <v>0.54302159467434719</v>
      </c>
      <c r="AC498" s="1">
        <v>33.556029185867892</v>
      </c>
    </row>
    <row r="499" spans="1:29" x14ac:dyDescent="0.2">
      <c r="A499" s="1" t="s">
        <v>2464</v>
      </c>
      <c r="B499" s="1" t="str">
        <f t="shared" ca="1" si="7"/>
        <v>Open</v>
      </c>
      <c r="C499" s="1" t="s">
        <v>2771</v>
      </c>
      <c r="D499" s="1" t="s">
        <v>2465</v>
      </c>
      <c r="E499" s="1" t="s">
        <v>2466</v>
      </c>
      <c r="F499" s="1" t="s">
        <v>2467</v>
      </c>
      <c r="G499" s="1" t="s">
        <v>2468</v>
      </c>
      <c r="H499" s="24">
        <v>45983</v>
      </c>
      <c r="I499" s="1"/>
      <c r="J499" s="1">
        <v>49.484744599999999</v>
      </c>
      <c r="K499" s="1">
        <v>105.94504999999999</v>
      </c>
      <c r="L499" s="20">
        <v>0</v>
      </c>
      <c r="M499" s="20">
        <v>0.99930555555555556</v>
      </c>
      <c r="N499" s="1">
        <v>0.63104196082364383</v>
      </c>
      <c r="O499" s="1">
        <v>92.660302365338282</v>
      </c>
      <c r="P499" s="1">
        <v>0.8189115884688053</v>
      </c>
      <c r="Q499" s="1">
        <v>42.858949213692284</v>
      </c>
      <c r="R499" s="1">
        <v>0.68713150093714503</v>
      </c>
      <c r="S499" s="1">
        <v>96.42130086880907</v>
      </c>
      <c r="T499" s="1">
        <v>0.77887670614262061</v>
      </c>
      <c r="U499" s="1">
        <v>40.542130955659893</v>
      </c>
      <c r="V499" s="1">
        <v>0.92053739661526512</v>
      </c>
      <c r="W499" s="1">
        <v>133.18199833686319</v>
      </c>
      <c r="X499" s="1">
        <v>1.0622171211785376</v>
      </c>
      <c r="Y499" s="1">
        <v>52.728527320208435</v>
      </c>
      <c r="Z499" s="1">
        <v>0.3018747901619982</v>
      </c>
      <c r="AA499" s="1">
        <v>53.758290000848831</v>
      </c>
      <c r="AB499" s="1">
        <v>0.21259275498924737</v>
      </c>
      <c r="AC499" s="1">
        <v>16.328837557603691</v>
      </c>
    </row>
    <row r="500" spans="1:29" x14ac:dyDescent="0.2">
      <c r="A500" s="1" t="s">
        <v>1667</v>
      </c>
      <c r="B500" s="1" t="str">
        <f t="shared" ca="1" si="7"/>
        <v>Open</v>
      </c>
      <c r="C500" s="1" t="s">
        <v>2770</v>
      </c>
      <c r="D500" s="1" t="s">
        <v>1668</v>
      </c>
      <c r="E500" s="1" t="s">
        <v>1669</v>
      </c>
      <c r="F500" s="1" t="s">
        <v>33</v>
      </c>
      <c r="G500" s="1" t="s">
        <v>1670</v>
      </c>
      <c r="H500" s="24">
        <v>45826</v>
      </c>
      <c r="I500" s="1"/>
      <c r="J500" s="1">
        <v>48.034474000000003</v>
      </c>
      <c r="K500" s="1">
        <v>106.907375</v>
      </c>
      <c r="L500" s="20">
        <v>0</v>
      </c>
      <c r="M500" s="20">
        <v>0.99930555555555556</v>
      </c>
      <c r="N500" s="1">
        <v>0.227586213065508</v>
      </c>
      <c r="O500" s="1">
        <v>40.785451642924976</v>
      </c>
      <c r="P500" s="1">
        <v>0.3694497345808429</v>
      </c>
      <c r="Q500" s="1">
        <v>14.301510344827586</v>
      </c>
      <c r="R500" s="1">
        <v>0.60974546072825608</v>
      </c>
      <c r="S500" s="1">
        <v>76.136767535475755</v>
      </c>
      <c r="T500" s="1">
        <v>0.78071941176090009</v>
      </c>
      <c r="U500" s="1">
        <v>36.382837048849851</v>
      </c>
      <c r="V500" s="1">
        <v>0.41424852218764568</v>
      </c>
      <c r="W500" s="1">
        <v>44.96838811188811</v>
      </c>
      <c r="X500" s="1">
        <v>0.5932794035037221</v>
      </c>
      <c r="Y500" s="1">
        <v>29.317712985938797</v>
      </c>
      <c r="Z500" s="1">
        <v>0.17747333215297911</v>
      </c>
      <c r="AA500" s="1">
        <v>26.069309178743964</v>
      </c>
      <c r="AB500" s="1">
        <v>0.26792123999727213</v>
      </c>
      <c r="AC500" s="1">
        <v>8.9738260898352635</v>
      </c>
    </row>
    <row r="501" spans="1:29" x14ac:dyDescent="0.2">
      <c r="A501" s="1" t="s">
        <v>1671</v>
      </c>
      <c r="B501" s="1" t="str">
        <f t="shared" ca="1" si="7"/>
        <v>Open</v>
      </c>
      <c r="C501" s="1" t="s">
        <v>2770</v>
      </c>
      <c r="D501" s="1" t="s">
        <v>1672</v>
      </c>
      <c r="E501" s="1" t="s">
        <v>1673</v>
      </c>
      <c r="F501" s="1" t="s">
        <v>64</v>
      </c>
      <c r="G501" s="1" t="s">
        <v>1674</v>
      </c>
      <c r="H501" s="24">
        <v>45777</v>
      </c>
      <c r="I501" s="1"/>
      <c r="J501" s="1">
        <v>47.880793699999998</v>
      </c>
      <c r="K501" s="1">
        <v>106.85858500000001</v>
      </c>
      <c r="L501" s="20">
        <v>0</v>
      </c>
      <c r="M501" s="20">
        <v>0.99930555555555556</v>
      </c>
      <c r="N501" s="1">
        <v>0.73168455355179474</v>
      </c>
      <c r="O501" s="1">
        <v>126.54966666666667</v>
      </c>
      <c r="P501" s="1">
        <v>1.0465045202570138</v>
      </c>
      <c r="Q501" s="1">
        <v>60.711175676677783</v>
      </c>
      <c r="R501" s="1">
        <v>0.82617804709285636</v>
      </c>
      <c r="S501" s="1">
        <v>116.18738402003616</v>
      </c>
      <c r="T501" s="1">
        <v>0.93250133043951156</v>
      </c>
      <c r="U501" s="1">
        <v>55.168417551993279</v>
      </c>
      <c r="V501" s="1">
        <v>1.1575326426737373</v>
      </c>
      <c r="W501" s="1">
        <v>178.3957525252525</v>
      </c>
      <c r="X501" s="1">
        <v>1.1123987761724015</v>
      </c>
      <c r="Y501" s="1">
        <v>52.956492831541219</v>
      </c>
      <c r="Z501" s="1">
        <v>0.63497108221739129</v>
      </c>
      <c r="AA501" s="1">
        <v>117.99271229200214</v>
      </c>
      <c r="AB501" s="1">
        <v>0.89558041033602154</v>
      </c>
      <c r="AC501" s="1">
        <v>49.96966129032257</v>
      </c>
    </row>
    <row r="502" spans="1:29" x14ac:dyDescent="0.2">
      <c r="A502" s="1" t="s">
        <v>1675</v>
      </c>
      <c r="B502" s="1" t="str">
        <f t="shared" ca="1" si="7"/>
        <v>Open</v>
      </c>
      <c r="C502" s="1" t="s">
        <v>2770</v>
      </c>
      <c r="D502" s="1" t="s">
        <v>1676</v>
      </c>
      <c r="E502" s="1" t="s">
        <v>1677</v>
      </c>
      <c r="F502" s="1" t="s">
        <v>841</v>
      </c>
      <c r="G502" s="1" t="s">
        <v>2689</v>
      </c>
      <c r="H502" s="24">
        <v>45897</v>
      </c>
      <c r="I502" s="1"/>
      <c r="J502" s="1">
        <v>47.803994000000003</v>
      </c>
      <c r="K502" s="1">
        <v>107.526241</v>
      </c>
      <c r="L502" s="20">
        <v>0</v>
      </c>
      <c r="M502" s="20">
        <v>0.99930555555555556</v>
      </c>
      <c r="N502" s="1">
        <v>0.39884886632169986</v>
      </c>
      <c r="O502" s="1">
        <v>59.119471035137686</v>
      </c>
      <c r="P502" s="1">
        <v>0.43555754014587816</v>
      </c>
      <c r="Q502" s="1">
        <v>23.186968817204303</v>
      </c>
      <c r="R502" s="1">
        <v>0.66073224683030729</v>
      </c>
      <c r="S502" s="1">
        <v>86.997416253424475</v>
      </c>
      <c r="T502" s="1">
        <v>0.79523156494907221</v>
      </c>
      <c r="U502" s="1">
        <v>39.379475041681395</v>
      </c>
      <c r="V502" s="1">
        <v>0.6518805265438874</v>
      </c>
      <c r="W502" s="1">
        <v>88.590863437043268</v>
      </c>
      <c r="X502" s="1">
        <v>0.7648932794735388</v>
      </c>
      <c r="Y502" s="1">
        <v>41.131661874692469</v>
      </c>
      <c r="Z502" s="1">
        <v>0.37378552483277216</v>
      </c>
      <c r="AA502" s="1">
        <v>65.092416386083059</v>
      </c>
      <c r="AB502" s="1">
        <v>0.28632410568180006</v>
      </c>
      <c r="AC502" s="1">
        <v>15.711974910394266</v>
      </c>
    </row>
    <row r="503" spans="1:29" x14ac:dyDescent="0.2">
      <c r="A503" s="1" t="s">
        <v>2469</v>
      </c>
      <c r="B503" s="1" t="str">
        <f t="shared" ca="1" si="7"/>
        <v>Open</v>
      </c>
      <c r="C503" s="1" t="s">
        <v>2771</v>
      </c>
      <c r="D503" s="1" t="s">
        <v>2470</v>
      </c>
      <c r="E503" s="1" t="s">
        <v>2471</v>
      </c>
      <c r="F503" s="1" t="s">
        <v>2237</v>
      </c>
      <c r="G503" s="1" t="s">
        <v>2472</v>
      </c>
      <c r="H503" s="24">
        <v>45777</v>
      </c>
      <c r="I503" s="1"/>
      <c r="J503" s="1">
        <v>48.078656000000002</v>
      </c>
      <c r="K503" s="1">
        <v>114.534451</v>
      </c>
      <c r="L503" s="20">
        <v>0</v>
      </c>
      <c r="M503" s="20">
        <v>0.99930555555555556</v>
      </c>
      <c r="N503" s="1">
        <v>1.0585078148911669</v>
      </c>
      <c r="O503" s="1">
        <v>155.03728758169936</v>
      </c>
      <c r="P503" s="1">
        <v>1.3128973577448029</v>
      </c>
      <c r="Q503" s="1">
        <v>67.454579211469522</v>
      </c>
      <c r="R503" s="1">
        <v>1.0324703143256262</v>
      </c>
      <c r="S503" s="1">
        <v>126.45155069885443</v>
      </c>
      <c r="T503" s="1">
        <v>1.577236469903226</v>
      </c>
      <c r="U503" s="1">
        <v>97.263354838709674</v>
      </c>
      <c r="V503" s="1">
        <v>1.3867741701031744</v>
      </c>
      <c r="W503" s="1">
        <v>183.07542021720971</v>
      </c>
      <c r="X503" s="1">
        <v>1.4381250148788525</v>
      </c>
      <c r="Y503" s="1">
        <v>79.478633691756258</v>
      </c>
      <c r="Z503" s="1">
        <v>0.87243986998013456</v>
      </c>
      <c r="AA503" s="1">
        <v>136.39612946127949</v>
      </c>
      <c r="AB503" s="1">
        <v>1.0952836979051461</v>
      </c>
      <c r="AC503" s="1">
        <v>55.522602534562203</v>
      </c>
    </row>
    <row r="504" spans="1:29" x14ac:dyDescent="0.2">
      <c r="A504" s="1" t="s">
        <v>2473</v>
      </c>
      <c r="B504" s="1" t="str">
        <f t="shared" ca="1" si="7"/>
        <v>Open</v>
      </c>
      <c r="C504" s="1" t="s">
        <v>2771</v>
      </c>
      <c r="D504" s="1" t="s">
        <v>2474</v>
      </c>
      <c r="E504" s="1" t="s">
        <v>2475</v>
      </c>
      <c r="F504" s="1" t="s">
        <v>2237</v>
      </c>
      <c r="G504" s="1" t="s">
        <v>2476</v>
      </c>
      <c r="H504" s="24">
        <v>45777</v>
      </c>
      <c r="I504" s="1"/>
      <c r="J504" s="1">
        <v>48.069777999999999</v>
      </c>
      <c r="K504" s="1">
        <v>114.525412</v>
      </c>
      <c r="L504" s="20">
        <v>0</v>
      </c>
      <c r="M504" s="20">
        <v>0.99930555555555556</v>
      </c>
      <c r="N504" s="1">
        <v>0.82361530725873033</v>
      </c>
      <c r="O504" s="1">
        <v>134.43268531746028</v>
      </c>
      <c r="P504" s="1">
        <v>0.94938597269295244</v>
      </c>
      <c r="Q504" s="1">
        <v>46.395003019227708</v>
      </c>
      <c r="R504" s="1">
        <v>1.1730850334823235</v>
      </c>
      <c r="S504" s="1">
        <v>127.34716792929289</v>
      </c>
      <c r="T504" s="1">
        <v>2.7303584441612903</v>
      </c>
      <c r="U504" s="1">
        <v>122.42550537634411</v>
      </c>
      <c r="V504" s="1">
        <v>1.284042004927171</v>
      </c>
      <c r="W504" s="1">
        <v>182.37743884220353</v>
      </c>
      <c r="X504" s="1">
        <v>1.1520993755583981</v>
      </c>
      <c r="Y504" s="1">
        <v>65.85238487208008</v>
      </c>
      <c r="Z504" s="1">
        <v>0.73388723856325744</v>
      </c>
      <c r="AA504" s="1">
        <v>119.51003295454545</v>
      </c>
      <c r="AB504" s="1">
        <v>0.77414153099654381</v>
      </c>
      <c r="AC504" s="1">
        <v>42.307047235023049</v>
      </c>
    </row>
    <row r="505" spans="1:29" x14ac:dyDescent="0.2">
      <c r="A505" s="1" t="s">
        <v>1678</v>
      </c>
      <c r="B505" s="1" t="str">
        <f t="shared" ca="1" si="7"/>
        <v>Open</v>
      </c>
      <c r="C505" s="1" t="s">
        <v>2770</v>
      </c>
      <c r="D505" s="1" t="s">
        <v>1679</v>
      </c>
      <c r="E505" s="1" t="s">
        <v>1680</v>
      </c>
      <c r="F505" s="1" t="s">
        <v>64</v>
      </c>
      <c r="G505" s="1" t="s">
        <v>1681</v>
      </c>
      <c r="H505" s="24">
        <v>45777</v>
      </c>
      <c r="I505" s="1"/>
      <c r="J505" s="1">
        <v>47.755073000000003</v>
      </c>
      <c r="K505" s="1">
        <v>106.788995</v>
      </c>
      <c r="L505" s="20">
        <v>0</v>
      </c>
      <c r="M505" s="20">
        <v>0.99930555555555556</v>
      </c>
      <c r="N505" s="1">
        <v>0.55995181676129147</v>
      </c>
      <c r="O505" s="1">
        <v>78.628629515669516</v>
      </c>
      <c r="P505" s="1">
        <v>0.66909423365864551</v>
      </c>
      <c r="Q505" s="1">
        <v>28.036411988629339</v>
      </c>
      <c r="R505" s="1">
        <v>0.61741551912987258</v>
      </c>
      <c r="S505" s="1">
        <v>78.646778798590958</v>
      </c>
      <c r="T505" s="1">
        <v>0.67349244275089604</v>
      </c>
      <c r="U505" s="1">
        <v>37.975118996415766</v>
      </c>
      <c r="V505" s="1">
        <v>1.0808738601738459</v>
      </c>
      <c r="W505" s="1">
        <v>129.46371282051282</v>
      </c>
      <c r="X505" s="1">
        <v>1.0894086477870968</v>
      </c>
      <c r="Y505" s="1">
        <v>44.10224157706093</v>
      </c>
      <c r="Z505" s="1">
        <v>0.40108034866778902</v>
      </c>
      <c r="AA505" s="1">
        <v>74.249537037037044</v>
      </c>
      <c r="AB505" s="1">
        <v>0.52047113034485404</v>
      </c>
      <c r="AC505" s="1">
        <v>17.343064132104455</v>
      </c>
    </row>
    <row r="506" spans="1:29" x14ac:dyDescent="0.2">
      <c r="A506" s="1" t="s">
        <v>1682</v>
      </c>
      <c r="B506" s="1" t="str">
        <f t="shared" ca="1" si="7"/>
        <v>Open</v>
      </c>
      <c r="C506" s="1" t="s">
        <v>2770</v>
      </c>
      <c r="D506" s="1" t="s">
        <v>1683</v>
      </c>
      <c r="E506" s="1" t="s">
        <v>1684</v>
      </c>
      <c r="F506" s="1" t="s">
        <v>145</v>
      </c>
      <c r="G506" s="1" t="s">
        <v>1685</v>
      </c>
      <c r="H506" s="24">
        <v>45777</v>
      </c>
      <c r="I506" s="1"/>
      <c r="J506" s="1">
        <v>47.945079300000003</v>
      </c>
      <c r="K506" s="1">
        <v>106.820949</v>
      </c>
      <c r="L506" s="20">
        <v>0</v>
      </c>
      <c r="M506" s="20">
        <v>0.99930555555555556</v>
      </c>
      <c r="N506" s="1">
        <v>0.2865819988435897</v>
      </c>
      <c r="O506" s="1">
        <v>42.283316923076924</v>
      </c>
      <c r="P506" s="1">
        <v>0.36768903972795708</v>
      </c>
      <c r="Q506" s="1">
        <v>18.684425448028676</v>
      </c>
      <c r="R506" s="1">
        <v>0.19033218189560441</v>
      </c>
      <c r="S506" s="1">
        <v>25.862025030525022</v>
      </c>
      <c r="T506" s="1">
        <v>0.51500978847311829</v>
      </c>
      <c r="U506" s="1">
        <v>42.023354838709686</v>
      </c>
      <c r="V506" s="1">
        <v>0.37686931686611103</v>
      </c>
      <c r="W506" s="1">
        <v>54.076388888888879</v>
      </c>
      <c r="X506" s="1">
        <v>0.61617993370179214</v>
      </c>
      <c r="Y506" s="1">
        <v>24.619729390681002</v>
      </c>
      <c r="Z506" s="1">
        <v>0.23029013126623724</v>
      </c>
      <c r="AA506" s="1">
        <v>34.405994095544813</v>
      </c>
      <c r="AB506" s="1">
        <v>0.3150284158828725</v>
      </c>
      <c r="AC506" s="1">
        <v>15.0650856374808</v>
      </c>
    </row>
    <row r="507" spans="1:29" x14ac:dyDescent="0.2">
      <c r="A507" s="1" t="s">
        <v>1686</v>
      </c>
      <c r="B507" s="1" t="str">
        <f t="shared" ca="1" si="7"/>
        <v>Open</v>
      </c>
      <c r="C507" s="1" t="s">
        <v>2770</v>
      </c>
      <c r="D507" s="1" t="s">
        <v>1687</v>
      </c>
      <c r="E507" s="1" t="s">
        <v>1688</v>
      </c>
      <c r="F507" s="1" t="s">
        <v>64</v>
      </c>
      <c r="G507" s="1" t="s">
        <v>1689</v>
      </c>
      <c r="H507" s="24">
        <v>45787</v>
      </c>
      <c r="I507" s="1"/>
      <c r="J507" s="1">
        <v>47.900728399999998</v>
      </c>
      <c r="K507" s="1">
        <v>106.908772</v>
      </c>
      <c r="L507" s="20">
        <v>0</v>
      </c>
      <c r="M507" s="20">
        <v>0.99930555555555556</v>
      </c>
      <c r="N507" s="1">
        <v>0.56342250420482431</v>
      </c>
      <c r="O507" s="1">
        <v>104.98928003798669</v>
      </c>
      <c r="P507" s="1">
        <v>0.79979024904444485</v>
      </c>
      <c r="Q507" s="1">
        <v>44.332766666666657</v>
      </c>
      <c r="R507" s="1">
        <v>0.61730291782907498</v>
      </c>
      <c r="S507" s="1">
        <v>87.814454411126576</v>
      </c>
      <c r="T507" s="1">
        <v>0.90064310550481996</v>
      </c>
      <c r="U507" s="1">
        <v>47.267436377624442</v>
      </c>
      <c r="V507" s="1">
        <v>0.64828426623694202</v>
      </c>
      <c r="W507" s="1">
        <v>113.53588888888889</v>
      </c>
      <c r="X507" s="1">
        <v>0.71274055597168451</v>
      </c>
      <c r="Y507" s="1">
        <v>42.480075627240147</v>
      </c>
      <c r="Z507" s="1">
        <v>0.48203529630864189</v>
      </c>
      <c r="AA507" s="1">
        <v>90.830271604938233</v>
      </c>
      <c r="AB507" s="1">
        <v>0.63341082724611708</v>
      </c>
      <c r="AC507" s="1">
        <v>44.388237753882912</v>
      </c>
    </row>
    <row r="508" spans="1:29" x14ac:dyDescent="0.2">
      <c r="A508" s="1" t="s">
        <v>1690</v>
      </c>
      <c r="B508" s="1" t="str">
        <f t="shared" ca="1" si="7"/>
        <v>Open</v>
      </c>
      <c r="C508" s="1" t="s">
        <v>2770</v>
      </c>
      <c r="D508" s="1" t="s">
        <v>1691</v>
      </c>
      <c r="E508" s="1" t="s">
        <v>1692</v>
      </c>
      <c r="F508" s="1" t="s">
        <v>48</v>
      </c>
      <c r="G508" s="1" t="s">
        <v>2690</v>
      </c>
      <c r="H508" s="24">
        <v>45833</v>
      </c>
      <c r="I508" s="1"/>
      <c r="J508" s="1">
        <v>47.917250000000003</v>
      </c>
      <c r="K508" s="1">
        <v>106.95208</v>
      </c>
      <c r="L508" s="20">
        <v>0</v>
      </c>
      <c r="M508" s="20">
        <v>0.99930555555555556</v>
      </c>
      <c r="N508" s="1">
        <v>0.90699638300974372</v>
      </c>
      <c r="O508" s="1">
        <v>166.83930045584049</v>
      </c>
      <c r="P508" s="1">
        <v>1.0247367299279573</v>
      </c>
      <c r="Q508" s="1">
        <v>47.414154121863795</v>
      </c>
      <c r="R508" s="1">
        <v>0.84105565845851249</v>
      </c>
      <c r="S508" s="1">
        <v>123.33051881752704</v>
      </c>
      <c r="T508" s="1">
        <v>1.0026346537555237</v>
      </c>
      <c r="U508" s="1">
        <v>51.527206224477091</v>
      </c>
      <c r="V508" s="1">
        <v>0.74220631416153882</v>
      </c>
      <c r="W508" s="1">
        <v>110.64369743589741</v>
      </c>
      <c r="X508" s="1">
        <v>0.77096182594802876</v>
      </c>
      <c r="Y508" s="1">
        <v>46.626858422939073</v>
      </c>
      <c r="Z508" s="1">
        <v>0.78801733863765433</v>
      </c>
      <c r="AA508" s="1">
        <v>160.42758827160495</v>
      </c>
      <c r="AB508" s="1">
        <v>0.76011039526420887</v>
      </c>
      <c r="AC508" s="1">
        <v>43.357953917050679</v>
      </c>
    </row>
    <row r="509" spans="1:29" x14ac:dyDescent="0.2">
      <c r="A509" s="1" t="s">
        <v>1693</v>
      </c>
      <c r="B509" s="1" t="str">
        <f t="shared" ca="1" si="7"/>
        <v>Open</v>
      </c>
      <c r="C509" s="1" t="s">
        <v>2770</v>
      </c>
      <c r="D509" s="1" t="s">
        <v>1694</v>
      </c>
      <c r="E509" s="1" t="s">
        <v>1695</v>
      </c>
      <c r="F509" s="1" t="s">
        <v>841</v>
      </c>
      <c r="G509" s="1" t="s">
        <v>2691</v>
      </c>
      <c r="H509" s="24">
        <v>45797</v>
      </c>
      <c r="I509" s="1"/>
      <c r="J509" s="1">
        <v>47.787730000000003</v>
      </c>
      <c r="K509" s="1">
        <v>107.26185</v>
      </c>
      <c r="L509" s="20">
        <v>0</v>
      </c>
      <c r="M509" s="20">
        <v>0.99930555555555556</v>
      </c>
      <c r="N509" s="1">
        <v>0.74770083372896468</v>
      </c>
      <c r="O509" s="1">
        <v>104.83291597340933</v>
      </c>
      <c r="P509" s="1">
        <v>0.70134937129962938</v>
      </c>
      <c r="Q509" s="1">
        <v>38.300667470028429</v>
      </c>
      <c r="R509" s="1">
        <v>0.69743233689032846</v>
      </c>
      <c r="S509" s="1">
        <v>84.337746433918596</v>
      </c>
      <c r="T509" s="1">
        <v>0.96684739524398589</v>
      </c>
      <c r="U509" s="1">
        <v>45.3393752828053</v>
      </c>
      <c r="V509" s="1">
        <v>1.1021668604377777</v>
      </c>
      <c r="W509" s="1">
        <v>124.92214792022794</v>
      </c>
      <c r="X509" s="1">
        <v>0.92636203590967747</v>
      </c>
      <c r="Y509" s="1">
        <v>58.582355197132642</v>
      </c>
      <c r="Z509" s="1">
        <v>0.6042138017561729</v>
      </c>
      <c r="AA509" s="1">
        <v>98.741285493827164</v>
      </c>
      <c r="AB509" s="1">
        <v>0.55868571016052238</v>
      </c>
      <c r="AC509" s="1">
        <v>30.070354070660517</v>
      </c>
    </row>
    <row r="510" spans="1:29" x14ac:dyDescent="0.2">
      <c r="A510" s="1" t="s">
        <v>1696</v>
      </c>
      <c r="B510" s="1" t="str">
        <f t="shared" ca="1" si="7"/>
        <v>Open</v>
      </c>
      <c r="C510" s="1" t="s">
        <v>2770</v>
      </c>
      <c r="D510" s="1" t="s">
        <v>1697</v>
      </c>
      <c r="E510" s="1" t="s">
        <v>1698</v>
      </c>
      <c r="F510" s="1" t="s">
        <v>145</v>
      </c>
      <c r="G510" s="1" t="s">
        <v>2692</v>
      </c>
      <c r="H510" s="24">
        <v>45798</v>
      </c>
      <c r="I510" s="1"/>
      <c r="J510" s="1">
        <v>47.914079999999998</v>
      </c>
      <c r="K510" s="1">
        <v>106.83112</v>
      </c>
      <c r="L510" s="20">
        <v>0</v>
      </c>
      <c r="M510" s="20">
        <v>0.99930555555555556</v>
      </c>
      <c r="N510" s="1">
        <v>0.40277461622322891</v>
      </c>
      <c r="O510" s="1">
        <v>65.196736277302932</v>
      </c>
      <c r="P510" s="1">
        <v>0.54294147358494627</v>
      </c>
      <c r="Q510" s="1">
        <v>36.8891394265233</v>
      </c>
      <c r="R510" s="1">
        <v>0.54396951221511491</v>
      </c>
      <c r="S510" s="1">
        <v>78.616182331354494</v>
      </c>
      <c r="T510" s="1">
        <v>0.6324735475747123</v>
      </c>
      <c r="U510" s="1">
        <v>42.172194442140587</v>
      </c>
      <c r="V510" s="1">
        <v>0.41538607014833806</v>
      </c>
      <c r="W510" s="1">
        <v>57.220973219373228</v>
      </c>
      <c r="X510" s="1">
        <v>0.55906421874193535</v>
      </c>
      <c r="Y510" s="1">
        <v>33.122457706093194</v>
      </c>
      <c r="Z510" s="1">
        <v>0.34505804671604939</v>
      </c>
      <c r="AA510" s="1">
        <v>58.632915190552865</v>
      </c>
      <c r="AB510" s="1">
        <v>0.42122952084447024</v>
      </c>
      <c r="AC510" s="1">
        <v>28.35399116743471</v>
      </c>
    </row>
    <row r="511" spans="1:29" x14ac:dyDescent="0.2">
      <c r="A511" s="1" t="s">
        <v>1699</v>
      </c>
      <c r="B511" s="1" t="str">
        <f t="shared" ca="1" si="7"/>
        <v>Open</v>
      </c>
      <c r="C511" s="1" t="s">
        <v>2770</v>
      </c>
      <c r="D511" s="1" t="s">
        <v>1700</v>
      </c>
      <c r="E511" s="1" t="s">
        <v>1701</v>
      </c>
      <c r="F511" s="1" t="s">
        <v>48</v>
      </c>
      <c r="G511" s="1" t="s">
        <v>1702</v>
      </c>
      <c r="H511" s="24">
        <v>45793</v>
      </c>
      <c r="I511" s="1"/>
      <c r="J511" s="1">
        <v>47.926380999999999</v>
      </c>
      <c r="K511" s="1">
        <v>106.942801</v>
      </c>
      <c r="L511" s="20">
        <v>0</v>
      </c>
      <c r="M511" s="20">
        <v>0.99930555555555556</v>
      </c>
      <c r="N511" s="1">
        <v>1.1033679451510923</v>
      </c>
      <c r="O511" s="1">
        <v>199.46869145299152</v>
      </c>
      <c r="P511" s="1">
        <v>1.3519786132415774</v>
      </c>
      <c r="Q511" s="1">
        <v>72.728539426523312</v>
      </c>
      <c r="R511" s="1">
        <v>0.98009060072935983</v>
      </c>
      <c r="S511" s="1">
        <v>150.26303418320637</v>
      </c>
      <c r="T511" s="1">
        <v>1.1557240063029017</v>
      </c>
      <c r="U511" s="1">
        <v>66.331496922590233</v>
      </c>
      <c r="V511" s="1">
        <v>1.2226619524548721</v>
      </c>
      <c r="W511" s="1">
        <v>208.34050706552702</v>
      </c>
      <c r="X511" s="1">
        <v>1.2689654000469532</v>
      </c>
      <c r="Y511" s="1">
        <v>59.93858853046595</v>
      </c>
      <c r="Z511" s="1">
        <v>1.033503055204509</v>
      </c>
      <c r="AA511" s="1">
        <v>206.3493268921095</v>
      </c>
      <c r="AB511" s="1">
        <v>1.2418037907649768</v>
      </c>
      <c r="AC511" s="1">
        <v>63.016094470046092</v>
      </c>
    </row>
    <row r="512" spans="1:29" x14ac:dyDescent="0.2">
      <c r="A512" s="1" t="s">
        <v>1703</v>
      </c>
      <c r="B512" s="1" t="str">
        <f t="shared" ca="1" si="7"/>
        <v>Open</v>
      </c>
      <c r="C512" s="1" t="s">
        <v>2770</v>
      </c>
      <c r="D512" s="1" t="s">
        <v>1704</v>
      </c>
      <c r="E512" s="1" t="s">
        <v>1705</v>
      </c>
      <c r="F512" s="1" t="s">
        <v>48</v>
      </c>
      <c r="G512" s="1" t="s">
        <v>1706</v>
      </c>
      <c r="H512" s="24">
        <v>45795</v>
      </c>
      <c r="I512" s="1"/>
      <c r="J512" s="1">
        <v>47.929161999999998</v>
      </c>
      <c r="K512" s="1">
        <v>107.161338</v>
      </c>
      <c r="L512" s="20">
        <v>0</v>
      </c>
      <c r="M512" s="20">
        <v>0.99930555555555556</v>
      </c>
      <c r="N512" s="1">
        <v>0.57457101393948717</v>
      </c>
      <c r="O512" s="1">
        <v>101.85246051282053</v>
      </c>
      <c r="P512" s="1">
        <v>0.73290486831182788</v>
      </c>
      <c r="Q512" s="1">
        <v>40.359100716845887</v>
      </c>
      <c r="R512" s="1">
        <v>0.75075334378064207</v>
      </c>
      <c r="S512" s="1">
        <v>91.428628200300366</v>
      </c>
      <c r="T512" s="1">
        <v>0.85669413512673021</v>
      </c>
      <c r="U512" s="1">
        <v>40.626876818903604</v>
      </c>
      <c r="V512" s="1">
        <v>1.0901382213352326</v>
      </c>
      <c r="W512" s="1">
        <v>172.75814482431153</v>
      </c>
      <c r="X512" s="1">
        <v>1.2427429668612904</v>
      </c>
      <c r="Y512" s="1">
        <v>70.748474193548375</v>
      </c>
      <c r="Z512" s="1">
        <v>0.54893215399871798</v>
      </c>
      <c r="AA512" s="1">
        <v>105.7458717948718</v>
      </c>
      <c r="AB512" s="1">
        <v>0.44789571944777268</v>
      </c>
      <c r="AC512" s="1">
        <v>27.044985407066051</v>
      </c>
    </row>
    <row r="513" spans="1:29" x14ac:dyDescent="0.2">
      <c r="A513" s="1" t="s">
        <v>2477</v>
      </c>
      <c r="B513" s="1" t="str">
        <f t="shared" ca="1" si="7"/>
        <v>Open</v>
      </c>
      <c r="C513" s="1" t="s">
        <v>2771</v>
      </c>
      <c r="D513" s="1" t="s">
        <v>2478</v>
      </c>
      <c r="E513" s="1" t="s">
        <v>2479</v>
      </c>
      <c r="F513" s="1" t="s">
        <v>2249</v>
      </c>
      <c r="G513" s="1" t="s">
        <v>2480</v>
      </c>
      <c r="H513" s="24">
        <v>45807</v>
      </c>
      <c r="I513" s="1"/>
      <c r="J513" s="1">
        <v>43.723103999999999</v>
      </c>
      <c r="K513" s="1">
        <v>111.896777</v>
      </c>
      <c r="L513" s="20">
        <v>0</v>
      </c>
      <c r="M513" s="20">
        <v>0.99930555555555556</v>
      </c>
      <c r="N513" s="1">
        <v>0.99259238468822397</v>
      </c>
      <c r="O513" s="1">
        <v>138.5239887054237</v>
      </c>
      <c r="P513" s="1">
        <v>0.86757378614920633</v>
      </c>
      <c r="Q513" s="1">
        <v>57.668431305114645</v>
      </c>
      <c r="R513" s="1">
        <v>1.6953441081267957</v>
      </c>
      <c r="S513" s="1">
        <v>159.99181135048352</v>
      </c>
      <c r="T513" s="1">
        <v>0.86859804414900366</v>
      </c>
      <c r="U513" s="1">
        <v>52.973257003235403</v>
      </c>
      <c r="V513" s="1">
        <v>1.4566498716471292</v>
      </c>
      <c r="W513" s="1">
        <v>176.26071618819779</v>
      </c>
      <c r="X513" s="1">
        <v>0.95191961054444441</v>
      </c>
      <c r="Y513" s="1">
        <v>60.032266666666679</v>
      </c>
      <c r="Z513" s="1">
        <v>0.92532052262723052</v>
      </c>
      <c r="AA513" s="1">
        <v>137.60139376218325</v>
      </c>
      <c r="AB513" s="1">
        <v>0.76610764289951794</v>
      </c>
      <c r="AC513" s="1">
        <v>52.559891175380045</v>
      </c>
    </row>
    <row r="514" spans="1:29" x14ac:dyDescent="0.2">
      <c r="A514" s="1" t="s">
        <v>2481</v>
      </c>
      <c r="B514" s="1" t="str">
        <f t="shared" ca="1" si="7"/>
        <v>Open</v>
      </c>
      <c r="C514" s="1" t="s">
        <v>2771</v>
      </c>
      <c r="D514" s="1" t="s">
        <v>2482</v>
      </c>
      <c r="E514" s="1" t="s">
        <v>2483</v>
      </c>
      <c r="F514" s="1" t="s">
        <v>2483</v>
      </c>
      <c r="G514" s="1" t="s">
        <v>2484</v>
      </c>
      <c r="H514" s="24">
        <v>45805</v>
      </c>
      <c r="I514" s="1"/>
      <c r="J514" s="1">
        <v>47.251714999999997</v>
      </c>
      <c r="K514" s="1">
        <v>107.54131099999999</v>
      </c>
      <c r="L514" s="20">
        <v>0</v>
      </c>
      <c r="M514" s="20">
        <v>0.99930555555555556</v>
      </c>
      <c r="N514" s="1">
        <v>0.71672088068823214</v>
      </c>
      <c r="O514" s="1">
        <v>105.11812726045883</v>
      </c>
      <c r="P514" s="1">
        <v>0.69014143194581268</v>
      </c>
      <c r="Q514" s="1">
        <v>41.980419896004378</v>
      </c>
      <c r="R514" s="1">
        <v>0.54104923090884705</v>
      </c>
      <c r="S514" s="1">
        <v>73.205918798590972</v>
      </c>
      <c r="T514" s="1">
        <v>0.73283116281029381</v>
      </c>
      <c r="U514" s="1">
        <v>48.097174565959421</v>
      </c>
      <c r="V514" s="1">
        <v>0.95619268612713704</v>
      </c>
      <c r="W514" s="1">
        <v>112.56132837995339</v>
      </c>
      <c r="X514" s="1">
        <v>0.79220750170624699</v>
      </c>
      <c r="Y514" s="1">
        <v>50.382295212493595</v>
      </c>
      <c r="Z514" s="1">
        <v>0.67158740233993786</v>
      </c>
      <c r="AA514" s="1">
        <v>112.61888315850815</v>
      </c>
      <c r="AB514" s="1">
        <v>0.48477287860983109</v>
      </c>
      <c r="AC514" s="1">
        <v>36.413921274961595</v>
      </c>
    </row>
    <row r="515" spans="1:29" x14ac:dyDescent="0.2">
      <c r="A515" s="1" t="s">
        <v>1707</v>
      </c>
      <c r="B515" s="1" t="str">
        <f t="shared" ca="1" si="7"/>
        <v>Open</v>
      </c>
      <c r="C515" s="1" t="s">
        <v>2770</v>
      </c>
      <c r="D515" s="1" t="s">
        <v>1708</v>
      </c>
      <c r="E515" s="1" t="s">
        <v>1709</v>
      </c>
      <c r="F515" s="1" t="s">
        <v>48</v>
      </c>
      <c r="G515" s="1" t="s">
        <v>1710</v>
      </c>
      <c r="H515" s="24">
        <v>45808</v>
      </c>
      <c r="I515" s="1"/>
      <c r="J515" s="1">
        <v>47.9287931</v>
      </c>
      <c r="K515" s="1">
        <v>106.93768300000001</v>
      </c>
      <c r="L515" s="20">
        <v>0</v>
      </c>
      <c r="M515" s="20">
        <v>0.99930555555555556</v>
      </c>
      <c r="N515" s="1">
        <v>0.53374183353820104</v>
      </c>
      <c r="O515" s="1">
        <v>94.092971851851871</v>
      </c>
      <c r="P515" s="1">
        <v>0.54199943476308243</v>
      </c>
      <c r="Q515" s="1">
        <v>35.102957706093186</v>
      </c>
      <c r="R515" s="1">
        <v>0.52378079447346237</v>
      </c>
      <c r="S515" s="1">
        <v>63.827476747308907</v>
      </c>
      <c r="T515" s="1">
        <v>0.9729691647995411</v>
      </c>
      <c r="U515" s="1">
        <v>47.085063454848303</v>
      </c>
      <c r="V515" s="1">
        <v>0.61853962311269828</v>
      </c>
      <c r="W515" s="1">
        <v>100.47346984126985</v>
      </c>
      <c r="X515" s="1">
        <v>0.42456931907527262</v>
      </c>
      <c r="Y515" s="1">
        <v>32.261662157382837</v>
      </c>
      <c r="Z515" s="1">
        <v>0.5390559064989936</v>
      </c>
      <c r="AA515" s="1">
        <v>97.280852053140094</v>
      </c>
      <c r="AB515" s="1">
        <v>0.60029400777534558</v>
      </c>
      <c r="AC515" s="1">
        <v>29.768469662058369</v>
      </c>
    </row>
    <row r="516" spans="1:29" x14ac:dyDescent="0.2">
      <c r="A516" s="1" t="s">
        <v>2485</v>
      </c>
      <c r="B516" s="1" t="str">
        <f t="shared" ref="B516:B579" ca="1" si="8">IF(AND(NOT(ISBLANK(I516)), I516 &lt;= TODAY()), "Closed", IF(H516 &gt; TODAY(), "Will open in future", "Open"))</f>
        <v>Open</v>
      </c>
      <c r="C516" s="1" t="s">
        <v>2771</v>
      </c>
      <c r="D516" s="1" t="s">
        <v>2486</v>
      </c>
      <c r="E516" s="1" t="s">
        <v>2487</v>
      </c>
      <c r="F516" s="1" t="s">
        <v>2185</v>
      </c>
      <c r="G516" s="1" t="s">
        <v>2488</v>
      </c>
      <c r="H516" s="24">
        <v>45821</v>
      </c>
      <c r="I516" s="1"/>
      <c r="J516" s="1">
        <v>48.9799978</v>
      </c>
      <c r="K516" s="1">
        <v>104.006282</v>
      </c>
      <c r="L516" s="20">
        <v>0</v>
      </c>
      <c r="M516" s="20">
        <v>0.99930555555555556</v>
      </c>
      <c r="N516" s="1">
        <v>0.47943097941612201</v>
      </c>
      <c r="O516" s="1">
        <v>85.20744615624028</v>
      </c>
      <c r="P516" s="1">
        <v>0.30954391169290579</v>
      </c>
      <c r="Q516" s="1">
        <v>16.645309195402294</v>
      </c>
      <c r="R516" s="1">
        <v>0.69300180975658943</v>
      </c>
      <c r="S516" s="1">
        <v>90.904884202142412</v>
      </c>
      <c r="T516" s="1">
        <v>0.79795148508885705</v>
      </c>
      <c r="U516" s="1">
        <v>37.980238482541608</v>
      </c>
      <c r="V516" s="1">
        <v>1.1384735879017713</v>
      </c>
      <c r="W516" s="1">
        <v>132.10970611916267</v>
      </c>
      <c r="X516" s="1">
        <v>0.75387046466716112</v>
      </c>
      <c r="Y516" s="1">
        <v>38.440516767601864</v>
      </c>
      <c r="Z516" s="1">
        <v>0.29534740242592594</v>
      </c>
      <c r="AA516" s="1">
        <v>54.007870370370362</v>
      </c>
      <c r="AB516" s="1">
        <v>0.24508348063719634</v>
      </c>
      <c r="AC516" s="1">
        <v>13.806053763440859</v>
      </c>
    </row>
    <row r="517" spans="1:29" x14ac:dyDescent="0.2">
      <c r="A517" s="1" t="s">
        <v>2489</v>
      </c>
      <c r="B517" s="1" t="str">
        <f t="shared" ca="1" si="8"/>
        <v>Open</v>
      </c>
      <c r="C517" s="1" t="s">
        <v>2771</v>
      </c>
      <c r="D517" s="1" t="s">
        <v>2490</v>
      </c>
      <c r="E517" s="1" t="s">
        <v>2491</v>
      </c>
      <c r="F517" s="1" t="s">
        <v>2313</v>
      </c>
      <c r="G517" s="1" t="s">
        <v>2492</v>
      </c>
      <c r="H517" s="24">
        <v>45821</v>
      </c>
      <c r="I517" s="1"/>
      <c r="J517" s="1">
        <v>48.828135000000003</v>
      </c>
      <c r="K517" s="1">
        <v>103.513344</v>
      </c>
      <c r="L517" s="20">
        <v>0</v>
      </c>
      <c r="M517" s="20">
        <v>0.99930555555555556</v>
      </c>
      <c r="N517" s="1">
        <v>0.55305349897965395</v>
      </c>
      <c r="O517" s="1">
        <v>86.596672758284612</v>
      </c>
      <c r="P517" s="1">
        <v>0.46670606614488253</v>
      </c>
      <c r="Q517" s="1">
        <v>31.496505535643166</v>
      </c>
      <c r="R517" s="1">
        <v>0.72100751241492267</v>
      </c>
      <c r="S517" s="1">
        <v>98.75883420214241</v>
      </c>
      <c r="T517" s="1">
        <v>0.81670203594907209</v>
      </c>
      <c r="U517" s="1">
        <v>40.87198041802548</v>
      </c>
      <c r="V517" s="1">
        <v>1.4418736729117647</v>
      </c>
      <c r="W517" s="1">
        <v>182.1919357298475</v>
      </c>
      <c r="X517" s="1">
        <v>0.99918288898685781</v>
      </c>
      <c r="Y517" s="1">
        <v>63.729018518518508</v>
      </c>
      <c r="Z517" s="1">
        <v>0.58368807123425714</v>
      </c>
      <c r="AA517" s="1">
        <v>95.477884778371049</v>
      </c>
      <c r="AB517" s="1">
        <v>0.44345913849042501</v>
      </c>
      <c r="AC517" s="1">
        <v>30.220592908346134</v>
      </c>
    </row>
    <row r="518" spans="1:29" x14ac:dyDescent="0.2">
      <c r="A518" s="1" t="s">
        <v>1711</v>
      </c>
      <c r="B518" s="1" t="str">
        <f t="shared" ca="1" si="8"/>
        <v>Open</v>
      </c>
      <c r="C518" s="1" t="s">
        <v>2770</v>
      </c>
      <c r="D518" s="1" t="s">
        <v>1712</v>
      </c>
      <c r="E518" s="1" t="s">
        <v>1713</v>
      </c>
      <c r="F518" s="1" t="s">
        <v>145</v>
      </c>
      <c r="G518" s="1" t="s">
        <v>2693</v>
      </c>
      <c r="H518" s="24">
        <v>45828</v>
      </c>
      <c r="I518" s="1"/>
      <c r="J518" s="1">
        <v>47.893399000000002</v>
      </c>
      <c r="K518" s="1">
        <v>106.653829</v>
      </c>
      <c r="L518" s="20">
        <v>0</v>
      </c>
      <c r="M518" s="20">
        <v>0.99930555555555556</v>
      </c>
      <c r="N518" s="1">
        <v>0.55485319548923095</v>
      </c>
      <c r="O518" s="1">
        <v>85.399340265906929</v>
      </c>
      <c r="P518" s="1">
        <v>0.4302470424623655</v>
      </c>
      <c r="Q518" s="1">
        <v>28.875977777777781</v>
      </c>
      <c r="R518" s="1">
        <v>0.66455345979184577</v>
      </c>
      <c r="S518" s="1">
        <v>90.837031638039846</v>
      </c>
      <c r="T518" s="1">
        <v>0.83193177554978892</v>
      </c>
      <c r="U518" s="1">
        <v>39.033614826627634</v>
      </c>
      <c r="V518" s="1">
        <v>0.89250446930469129</v>
      </c>
      <c r="W518" s="1">
        <v>103.74290074074075</v>
      </c>
      <c r="X518" s="1">
        <v>0.75333067815151511</v>
      </c>
      <c r="Y518" s="1">
        <v>42.671262952101671</v>
      </c>
      <c r="Z518" s="1">
        <v>0.3825828510703167</v>
      </c>
      <c r="AA518" s="1">
        <v>64.807726784755758</v>
      </c>
      <c r="AB518" s="1">
        <v>0.32357834002342545</v>
      </c>
      <c r="AC518" s="1">
        <v>20.350000768049156</v>
      </c>
    </row>
    <row r="519" spans="1:29" x14ac:dyDescent="0.2">
      <c r="A519" s="1" t="s">
        <v>1714</v>
      </c>
      <c r="B519" s="1" t="str">
        <f t="shared" ca="1" si="8"/>
        <v>Open</v>
      </c>
      <c r="C519" s="1" t="s">
        <v>2770</v>
      </c>
      <c r="D519" s="1" t="s">
        <v>1715</v>
      </c>
      <c r="E519" s="1" t="s">
        <v>1716</v>
      </c>
      <c r="F519" s="1" t="s">
        <v>64</v>
      </c>
      <c r="G519" s="1" t="s">
        <v>1717</v>
      </c>
      <c r="H519" s="24">
        <v>45837</v>
      </c>
      <c r="I519" s="1"/>
      <c r="J519" s="1">
        <v>47.8939144</v>
      </c>
      <c r="K519" s="1">
        <v>106.92832900000001</v>
      </c>
      <c r="L519" s="20">
        <v>0</v>
      </c>
      <c r="M519" s="20">
        <v>0.99930555555555556</v>
      </c>
      <c r="N519" s="1">
        <v>0.52444182127690409</v>
      </c>
      <c r="O519" s="1">
        <v>106.74480700854701</v>
      </c>
      <c r="P519" s="1">
        <v>1.101199098422222</v>
      </c>
      <c r="Q519" s="1">
        <v>60.414700000000003</v>
      </c>
      <c r="R519" s="1">
        <v>0.69730478765082016</v>
      </c>
      <c r="S519" s="1">
        <v>97.087749586757795</v>
      </c>
      <c r="T519" s="1">
        <v>0.91924526258348072</v>
      </c>
      <c r="U519" s="1">
        <v>52.499991170713656</v>
      </c>
      <c r="V519" s="1">
        <v>0.68623066517200859</v>
      </c>
      <c r="W519" s="1">
        <v>87.705569444444436</v>
      </c>
      <c r="X519" s="1">
        <v>1.2162184737702511</v>
      </c>
      <c r="Y519" s="1">
        <v>60.79126594982079</v>
      </c>
      <c r="Z519" s="1">
        <v>0.40628508306701355</v>
      </c>
      <c r="AA519" s="1">
        <v>73.244884801189144</v>
      </c>
      <c r="AB519" s="1">
        <v>0.63565358178302622</v>
      </c>
      <c r="AC519" s="1">
        <v>48.696614823348682</v>
      </c>
    </row>
    <row r="520" spans="1:29" x14ac:dyDescent="0.2">
      <c r="A520" s="1" t="s">
        <v>1718</v>
      </c>
      <c r="B520" s="1" t="str">
        <f t="shared" ca="1" si="8"/>
        <v>Open</v>
      </c>
      <c r="C520" s="1" t="s">
        <v>2770</v>
      </c>
      <c r="D520" s="1" t="s">
        <v>1719</v>
      </c>
      <c r="E520" s="1" t="s">
        <v>1720</v>
      </c>
      <c r="F520" s="1" t="s">
        <v>841</v>
      </c>
      <c r="G520" s="1" t="s">
        <v>1721</v>
      </c>
      <c r="H520" s="24">
        <v>45834</v>
      </c>
      <c r="I520" s="1"/>
      <c r="J520" s="1">
        <v>47.816267000000003</v>
      </c>
      <c r="K520" s="1">
        <v>107.328656</v>
      </c>
      <c r="L520" s="20">
        <v>0</v>
      </c>
      <c r="M520" s="20">
        <v>0.99930555555555556</v>
      </c>
      <c r="N520" s="1">
        <v>0.54376443723000001</v>
      </c>
      <c r="O520" s="1">
        <v>98.355563888888909</v>
      </c>
      <c r="P520" s="1">
        <v>0.56608101440344816</v>
      </c>
      <c r="Q520" s="1">
        <v>27.574875478927201</v>
      </c>
      <c r="R520" s="1">
        <v>0.74716450082158936</v>
      </c>
      <c r="S520" s="1">
        <v>104.43091420214243</v>
      </c>
      <c r="T520" s="1">
        <v>0.81573210346520109</v>
      </c>
      <c r="U520" s="1">
        <v>41.132442783616881</v>
      </c>
      <c r="V520" s="1">
        <v>1.6188028367453706</v>
      </c>
      <c r="W520" s="1">
        <v>122.00709567901232</v>
      </c>
      <c r="X520" s="1">
        <v>1.2356280847028671</v>
      </c>
      <c r="Y520" s="1">
        <v>56.40017383512545</v>
      </c>
      <c r="Z520" s="1">
        <v>0.53596764082410253</v>
      </c>
      <c r="AA520" s="1">
        <v>94.523874172494189</v>
      </c>
      <c r="AB520" s="1">
        <v>0.4697005607730414</v>
      </c>
      <c r="AC520" s="1">
        <v>23.745711981566814</v>
      </c>
    </row>
    <row r="521" spans="1:29" x14ac:dyDescent="0.2">
      <c r="A521" s="1" t="s">
        <v>1722</v>
      </c>
      <c r="B521" s="1" t="str">
        <f t="shared" ca="1" si="8"/>
        <v>Open</v>
      </c>
      <c r="C521" s="1" t="s">
        <v>2770</v>
      </c>
      <c r="D521" s="1" t="s">
        <v>1723</v>
      </c>
      <c r="E521" s="1" t="s">
        <v>1724</v>
      </c>
      <c r="F521" s="1" t="s">
        <v>48</v>
      </c>
      <c r="G521" s="1" t="s">
        <v>1725</v>
      </c>
      <c r="H521" s="24">
        <v>45833</v>
      </c>
      <c r="I521" s="1"/>
      <c r="J521" s="1">
        <v>47.902988200000003</v>
      </c>
      <c r="K521" s="1">
        <v>106.94165599999999</v>
      </c>
      <c r="L521" s="20">
        <v>0</v>
      </c>
      <c r="M521" s="20">
        <v>0.99930555555555556</v>
      </c>
      <c r="N521" s="1">
        <v>0.571168504774207</v>
      </c>
      <c r="O521" s="1">
        <v>111.82873756885091</v>
      </c>
      <c r="P521" s="1">
        <v>0.70447278578136185</v>
      </c>
      <c r="Q521" s="1">
        <v>41.831818637992818</v>
      </c>
      <c r="R521" s="1">
        <v>0.74019375780466634</v>
      </c>
      <c r="S521" s="1">
        <v>106.75089061239881</v>
      </c>
      <c r="T521" s="1">
        <v>0.92395914697057757</v>
      </c>
      <c r="U521" s="1">
        <v>47.123636332003976</v>
      </c>
      <c r="V521" s="1">
        <v>1.4211123535773027</v>
      </c>
      <c r="W521" s="1">
        <v>170.03404045584048</v>
      </c>
      <c r="X521" s="1">
        <v>0.88212973290107521</v>
      </c>
      <c r="Y521" s="1">
        <v>55.14882186379927</v>
      </c>
      <c r="Z521" s="1">
        <v>0.4354719781084273</v>
      </c>
      <c r="AA521" s="1">
        <v>97.730748255501865</v>
      </c>
      <c r="AB521" s="1">
        <v>0.68574511897235035</v>
      </c>
      <c r="AC521" s="1">
        <v>34.845946236559151</v>
      </c>
    </row>
    <row r="522" spans="1:29" x14ac:dyDescent="0.2">
      <c r="A522" s="1" t="s">
        <v>1726</v>
      </c>
      <c r="B522" s="1" t="str">
        <f t="shared" ca="1" si="8"/>
        <v>Open</v>
      </c>
      <c r="C522" s="1" t="s">
        <v>2770</v>
      </c>
      <c r="D522" s="1" t="s">
        <v>1727</v>
      </c>
      <c r="E522" s="1" t="s">
        <v>1728</v>
      </c>
      <c r="F522" s="1" t="s">
        <v>48</v>
      </c>
      <c r="G522" s="1" t="s">
        <v>1729</v>
      </c>
      <c r="H522" s="24">
        <v>46015</v>
      </c>
      <c r="I522" s="1"/>
      <c r="J522" s="1">
        <v>47.903975199999998</v>
      </c>
      <c r="K522" s="1">
        <v>106.929278</v>
      </c>
      <c r="L522" s="20">
        <v>0.29166666666666669</v>
      </c>
      <c r="M522" s="20">
        <v>0.91666666666666663</v>
      </c>
      <c r="N522" s="1">
        <v>0.73639092957822683</v>
      </c>
      <c r="O522" s="1">
        <v>120.83034189340572</v>
      </c>
      <c r="P522" s="1">
        <v>1.0305683280225519</v>
      </c>
      <c r="Q522" s="1">
        <v>50.741335744455974</v>
      </c>
      <c r="R522" s="1">
        <v>0.80440676343287143</v>
      </c>
      <c r="S522" s="1">
        <v>124.25831368932192</v>
      </c>
      <c r="T522" s="1">
        <v>0.9791998333039108</v>
      </c>
      <c r="U522" s="1">
        <v>64.933195471788935</v>
      </c>
      <c r="V522" s="1">
        <v>0.92053739661526512</v>
      </c>
      <c r="W522" s="1">
        <v>133.18199833686319</v>
      </c>
      <c r="X522" s="1">
        <v>1.0622171211785376</v>
      </c>
      <c r="Y522" s="1">
        <v>52.728527320208435</v>
      </c>
      <c r="Z522" s="1">
        <v>0.51456290417019401</v>
      </c>
      <c r="AA522" s="1">
        <v>87.849255731922383</v>
      </c>
      <c r="AB522" s="1">
        <v>0.80330320966186652</v>
      </c>
      <c r="AC522" s="1">
        <v>61.394316820276494</v>
      </c>
    </row>
    <row r="523" spans="1:29" x14ac:dyDescent="0.2">
      <c r="A523" s="1" t="s">
        <v>1730</v>
      </c>
      <c r="B523" s="1" t="str">
        <f t="shared" ca="1" si="8"/>
        <v>Open</v>
      </c>
      <c r="C523" s="1" t="s">
        <v>2770</v>
      </c>
      <c r="D523" s="1" t="s">
        <v>1731</v>
      </c>
      <c r="E523" s="1" t="s">
        <v>1732</v>
      </c>
      <c r="F523" s="1" t="s">
        <v>28</v>
      </c>
      <c r="G523" s="1" t="s">
        <v>1733</v>
      </c>
      <c r="H523" s="24">
        <v>45835</v>
      </c>
      <c r="I523" s="1"/>
      <c r="J523" s="1">
        <v>47.890376000000003</v>
      </c>
      <c r="K523" s="1">
        <v>106.789464</v>
      </c>
      <c r="L523" s="20">
        <v>0</v>
      </c>
      <c r="M523" s="20">
        <v>0.99930555555555556</v>
      </c>
      <c r="N523" s="1">
        <v>0.55754582374000006</v>
      </c>
      <c r="O523" s="1">
        <v>98.033550161443529</v>
      </c>
      <c r="P523" s="1">
        <v>0.56513458114597681</v>
      </c>
      <c r="Q523" s="1">
        <v>34.636141762452098</v>
      </c>
      <c r="R523" s="1">
        <v>0.76540134334312793</v>
      </c>
      <c r="S523" s="1">
        <v>113.88782650983474</v>
      </c>
      <c r="T523" s="1">
        <v>0.86687753823939484</v>
      </c>
      <c r="U523" s="1">
        <v>45.355238482541608</v>
      </c>
      <c r="V523" s="1">
        <v>0.42061750897435896</v>
      </c>
      <c r="W523" s="1">
        <v>56.964820512820516</v>
      </c>
      <c r="X523" s="1">
        <v>0.57405730154444445</v>
      </c>
      <c r="Y523" s="1">
        <v>31.845405555555562</v>
      </c>
      <c r="Z523" s="1">
        <v>0.45694104260869556</v>
      </c>
      <c r="AA523" s="1">
        <v>85.699121309715508</v>
      </c>
      <c r="AB523" s="1">
        <v>0.50636303208909361</v>
      </c>
      <c r="AC523" s="1">
        <v>31.882091781874035</v>
      </c>
    </row>
    <row r="524" spans="1:29" x14ac:dyDescent="0.2">
      <c r="A524" s="1" t="s">
        <v>1734</v>
      </c>
      <c r="B524" s="1" t="str">
        <f t="shared" ca="1" si="8"/>
        <v>Open</v>
      </c>
      <c r="C524" s="1" t="s">
        <v>2770</v>
      </c>
      <c r="D524" s="1" t="s">
        <v>1735</v>
      </c>
      <c r="E524" s="1" t="s">
        <v>1736</v>
      </c>
      <c r="F524" s="1" t="s">
        <v>145</v>
      </c>
      <c r="G524" s="1" t="s">
        <v>2694</v>
      </c>
      <c r="H524" s="24">
        <v>45936</v>
      </c>
      <c r="I524" s="1"/>
      <c r="J524" s="1">
        <v>47.996845999999998</v>
      </c>
      <c r="K524" s="1">
        <v>106.55197</v>
      </c>
      <c r="L524" s="20">
        <v>0</v>
      </c>
      <c r="M524" s="20">
        <v>0.99930555555555556</v>
      </c>
      <c r="N524" s="1">
        <v>0.69159887974175216</v>
      </c>
      <c r="O524" s="1">
        <v>112.5443593743942</v>
      </c>
      <c r="P524" s="1">
        <v>0.8124130842910674</v>
      </c>
      <c r="Q524" s="1">
        <v>46.55644708372116</v>
      </c>
      <c r="R524" s="1">
        <v>0.79764309513799958</v>
      </c>
      <c r="S524" s="1">
        <v>114.12190343291165</v>
      </c>
      <c r="T524" s="1">
        <v>0.94613893987380326</v>
      </c>
      <c r="U524" s="1">
        <v>49.828926654584613</v>
      </c>
      <c r="V524" s="1">
        <v>0.92053739661526512</v>
      </c>
      <c r="W524" s="1">
        <v>133.18199833686319</v>
      </c>
      <c r="X524" s="1">
        <v>1.0622171211785376</v>
      </c>
      <c r="Y524" s="1">
        <v>52.728527320208435</v>
      </c>
      <c r="Z524" s="1">
        <v>0.61932410059796028</v>
      </c>
      <c r="AA524" s="1">
        <v>109.94855340848096</v>
      </c>
      <c r="AB524" s="1">
        <v>0.60454639829761903</v>
      </c>
      <c r="AC524" s="1">
        <v>39.968298387096787</v>
      </c>
    </row>
    <row r="525" spans="1:29" x14ac:dyDescent="0.2">
      <c r="A525" s="1" t="s">
        <v>2493</v>
      </c>
      <c r="B525" s="1" t="str">
        <f t="shared" ca="1" si="8"/>
        <v>Open</v>
      </c>
      <c r="C525" s="1" t="s">
        <v>2771</v>
      </c>
      <c r="D525" s="1" t="s">
        <v>2494</v>
      </c>
      <c r="E525" s="1" t="s">
        <v>2495</v>
      </c>
      <c r="F525" s="1" t="s">
        <v>2237</v>
      </c>
      <c r="G525" s="1" t="s">
        <v>2496</v>
      </c>
      <c r="H525" s="24">
        <v>45838</v>
      </c>
      <c r="I525" s="1"/>
      <c r="J525" s="1">
        <v>48.076066599999997</v>
      </c>
      <c r="K525" s="1">
        <v>114.530901</v>
      </c>
      <c r="L525" s="20">
        <v>0.29166666666666669</v>
      </c>
      <c r="M525" s="20">
        <v>0.99930555555555556</v>
      </c>
      <c r="N525" s="1">
        <v>0.40821861668502962</v>
      </c>
      <c r="O525" s="1">
        <v>55.515850762527215</v>
      </c>
      <c r="P525" s="1">
        <v>0.79874136754475333</v>
      </c>
      <c r="Q525" s="1">
        <v>52.082545371400329</v>
      </c>
      <c r="R525" s="1">
        <v>0.67508258389036124</v>
      </c>
      <c r="S525" s="1">
        <v>89.737072798633633</v>
      </c>
      <c r="T525" s="1">
        <v>0.91239467750821202</v>
      </c>
      <c r="U525" s="1">
        <v>52.222389020176024</v>
      </c>
      <c r="V525" s="1">
        <v>0.76323632059876534</v>
      </c>
      <c r="W525" s="1">
        <v>72.742787878787894</v>
      </c>
      <c r="X525" s="1">
        <v>1.4568487751935486</v>
      </c>
      <c r="Y525" s="1">
        <v>84.679580645161295</v>
      </c>
      <c r="Z525" s="1">
        <v>0.29186598780714285</v>
      </c>
      <c r="AA525" s="1">
        <v>44.303945238095231</v>
      </c>
      <c r="AB525" s="1">
        <v>0.55304006831758834</v>
      </c>
      <c r="AC525" s="1">
        <v>39.144800691244235</v>
      </c>
    </row>
    <row r="526" spans="1:29" x14ac:dyDescent="0.2">
      <c r="A526" s="1" t="s">
        <v>2497</v>
      </c>
      <c r="B526" s="1" t="str">
        <f t="shared" ca="1" si="8"/>
        <v>Open</v>
      </c>
      <c r="C526" s="1" t="s">
        <v>2771</v>
      </c>
      <c r="D526" s="1" t="s">
        <v>2498</v>
      </c>
      <c r="E526" s="1" t="s">
        <v>2499</v>
      </c>
      <c r="F526" s="1" t="s">
        <v>2237</v>
      </c>
      <c r="G526" s="1" t="s">
        <v>2500</v>
      </c>
      <c r="H526" s="24">
        <v>45847</v>
      </c>
      <c r="I526" s="1"/>
      <c r="J526" s="1">
        <v>48.072018</v>
      </c>
      <c r="K526" s="1">
        <v>114.53042600000001</v>
      </c>
      <c r="L526" s="20">
        <v>0.29166666666666669</v>
      </c>
      <c r="M526" s="20">
        <v>0.99930555555555556</v>
      </c>
      <c r="N526" s="1">
        <v>0.50394356328402357</v>
      </c>
      <c r="O526" s="1">
        <v>72.233247688060729</v>
      </c>
      <c r="P526" s="1">
        <v>1.1370222931112879</v>
      </c>
      <c r="Q526" s="1">
        <v>58.156583320091109</v>
      </c>
      <c r="R526" s="1">
        <v>0.68287860016946811</v>
      </c>
      <c r="S526" s="1">
        <v>90.467149353657575</v>
      </c>
      <c r="T526" s="1">
        <v>0.92540709322864201</v>
      </c>
      <c r="U526" s="1">
        <v>51.323926654584618</v>
      </c>
      <c r="V526" s="1">
        <v>0.90447012860012166</v>
      </c>
      <c r="W526" s="1">
        <v>114.22665569099446</v>
      </c>
      <c r="X526" s="1">
        <v>1.0756713102556561</v>
      </c>
      <c r="Y526" s="1">
        <v>53.451200610155915</v>
      </c>
      <c r="Z526" s="1">
        <v>0.31882951156662481</v>
      </c>
      <c r="AA526" s="1">
        <v>44.99337536549708</v>
      </c>
      <c r="AB526" s="1">
        <v>0.87091932264285743</v>
      </c>
      <c r="AC526" s="1">
        <v>42.876559907834114</v>
      </c>
    </row>
    <row r="527" spans="1:29" x14ac:dyDescent="0.2">
      <c r="A527" s="1" t="s">
        <v>1737</v>
      </c>
      <c r="B527" s="1" t="str">
        <f t="shared" ca="1" si="8"/>
        <v>Open</v>
      </c>
      <c r="C527" s="1" t="s">
        <v>2770</v>
      </c>
      <c r="D527" s="1" t="s">
        <v>1738</v>
      </c>
      <c r="E527" s="1" t="s">
        <v>1739</v>
      </c>
      <c r="F527" s="1" t="s">
        <v>48</v>
      </c>
      <c r="G527" s="1" t="s">
        <v>1740</v>
      </c>
      <c r="H527" s="24">
        <v>45847</v>
      </c>
      <c r="I527" s="1"/>
      <c r="J527" s="1">
        <v>47.920279499999999</v>
      </c>
      <c r="K527" s="1">
        <v>106.992825</v>
      </c>
      <c r="L527" s="20">
        <v>0</v>
      </c>
      <c r="M527" s="20">
        <v>0.99930555555555556</v>
      </c>
      <c r="N527" s="1">
        <v>0.46341963607308639</v>
      </c>
      <c r="O527" s="1">
        <v>75.704755555555565</v>
      </c>
      <c r="P527" s="1">
        <v>0.65239815063440876</v>
      </c>
      <c r="Q527" s="1">
        <v>28.267294265232987</v>
      </c>
      <c r="R527" s="1">
        <v>0.71212254433030731</v>
      </c>
      <c r="S527" s="1">
        <v>97.00686497137319</v>
      </c>
      <c r="T527" s="1">
        <v>0.83684844323939478</v>
      </c>
      <c r="U527" s="1">
        <v>42.315109450283543</v>
      </c>
      <c r="V527" s="1">
        <v>0.60709112850382685</v>
      </c>
      <c r="W527" s="1">
        <v>89.670807526087472</v>
      </c>
      <c r="X527" s="1">
        <v>0.76689226912688169</v>
      </c>
      <c r="Y527" s="1">
        <v>37.650398624052201</v>
      </c>
      <c r="Z527" s="1">
        <v>0.4656600867901235</v>
      </c>
      <c r="AA527" s="1">
        <v>95.136561996779378</v>
      </c>
      <c r="AB527" s="1">
        <v>0.42723629878917052</v>
      </c>
      <c r="AC527" s="1">
        <v>25.84330491551459</v>
      </c>
    </row>
    <row r="528" spans="1:29" x14ac:dyDescent="0.2">
      <c r="A528" s="1" t="s">
        <v>1741</v>
      </c>
      <c r="B528" s="1" t="str">
        <f t="shared" ca="1" si="8"/>
        <v>Open</v>
      </c>
      <c r="C528" s="1" t="s">
        <v>2770</v>
      </c>
      <c r="D528" s="1" t="s">
        <v>1742</v>
      </c>
      <c r="E528" s="1" t="s">
        <v>1743</v>
      </c>
      <c r="F528" s="1" t="s">
        <v>11</v>
      </c>
      <c r="G528" s="1" t="s">
        <v>1744</v>
      </c>
      <c r="H528" s="24">
        <v>45866</v>
      </c>
      <c r="I528" s="1"/>
      <c r="J528" s="1">
        <v>47.911075599999997</v>
      </c>
      <c r="K528" s="1">
        <v>106.904734</v>
      </c>
      <c r="L528" s="20">
        <v>0.29166666666666669</v>
      </c>
      <c r="M528" s="20">
        <v>0.99930555555555556</v>
      </c>
      <c r="N528" s="1">
        <v>0.34093891295743139</v>
      </c>
      <c r="O528" s="1">
        <v>60.087589466089469</v>
      </c>
      <c r="P528" s="1">
        <v>0.71690968154099644</v>
      </c>
      <c r="Q528" s="1">
        <v>21.852342145593866</v>
      </c>
      <c r="R528" s="1">
        <v>0.67449109818551101</v>
      </c>
      <c r="S528" s="1">
        <v>89.143810672730652</v>
      </c>
      <c r="T528" s="1">
        <v>0.81656225721788933</v>
      </c>
      <c r="U528" s="1">
        <v>42.783184719100753</v>
      </c>
      <c r="V528" s="1">
        <v>0.6243119065225623</v>
      </c>
      <c r="W528" s="1">
        <v>88.765171888777914</v>
      </c>
      <c r="X528" s="1">
        <v>0.88573933064242605</v>
      </c>
      <c r="Y528" s="1">
        <v>45.954705543173297</v>
      </c>
      <c r="Z528" s="1">
        <v>0.26075030980973546</v>
      </c>
      <c r="AA528" s="1">
        <v>49.397556296296308</v>
      </c>
      <c r="AB528" s="1">
        <v>0.4534195931528418</v>
      </c>
      <c r="AC528" s="1">
        <v>17.735822580645166</v>
      </c>
    </row>
    <row r="529" spans="1:29" x14ac:dyDescent="0.2">
      <c r="A529" s="1" t="s">
        <v>1745</v>
      </c>
      <c r="B529" s="1" t="str">
        <f t="shared" ca="1" si="8"/>
        <v>Open</v>
      </c>
      <c r="C529" s="1" t="s">
        <v>2770</v>
      </c>
      <c r="D529" s="1" t="s">
        <v>1746</v>
      </c>
      <c r="E529" s="1" t="s">
        <v>1747</v>
      </c>
      <c r="F529" s="1" t="s">
        <v>64</v>
      </c>
      <c r="G529" s="1" t="s">
        <v>1748</v>
      </c>
      <c r="H529" s="24">
        <v>45862</v>
      </c>
      <c r="I529" s="1"/>
      <c r="J529" s="1">
        <v>47.851995000000002</v>
      </c>
      <c r="K529" s="1">
        <v>106.782488</v>
      </c>
      <c r="L529" s="20">
        <v>0</v>
      </c>
      <c r="M529" s="20">
        <v>0.99930555555555556</v>
      </c>
      <c r="N529" s="1">
        <v>0.36756877991059839</v>
      </c>
      <c r="O529" s="1">
        <v>65.290160113960113</v>
      </c>
      <c r="P529" s="1">
        <v>0.78905752499999993</v>
      </c>
      <c r="Q529" s="1">
        <v>31.169506093189963</v>
      </c>
      <c r="R529" s="1">
        <v>0.69236446583492273</v>
      </c>
      <c r="S529" s="1">
        <v>94.913340868809087</v>
      </c>
      <c r="T529" s="1">
        <v>0.88527557118563127</v>
      </c>
      <c r="U529" s="1">
        <v>43.779055686842689</v>
      </c>
      <c r="V529" s="1">
        <v>0.76076604558103489</v>
      </c>
      <c r="W529" s="1">
        <v>110.62514513292506</v>
      </c>
      <c r="X529" s="1">
        <v>1.2406468647749147</v>
      </c>
      <c r="Y529" s="1">
        <v>38.108879890331501</v>
      </c>
      <c r="Z529" s="1">
        <v>0.35754220042047608</v>
      </c>
      <c r="AA529" s="1">
        <v>68.421629761904768</v>
      </c>
      <c r="AB529" s="1">
        <v>0.42705496812819604</v>
      </c>
      <c r="AC529" s="1">
        <v>20.282761051373953</v>
      </c>
    </row>
    <row r="530" spans="1:29" x14ac:dyDescent="0.2">
      <c r="A530" s="1" t="s">
        <v>1749</v>
      </c>
      <c r="B530" s="1" t="str">
        <f t="shared" ca="1" si="8"/>
        <v>Open</v>
      </c>
      <c r="C530" s="1" t="s">
        <v>2770</v>
      </c>
      <c r="D530" s="1" t="s">
        <v>1750</v>
      </c>
      <c r="E530" s="1" t="s">
        <v>1751</v>
      </c>
      <c r="F530" s="1" t="s">
        <v>48</v>
      </c>
      <c r="G530" s="1" t="s">
        <v>1752</v>
      </c>
      <c r="H530" s="24">
        <v>45865</v>
      </c>
      <c r="I530" s="1"/>
      <c r="J530" s="1">
        <v>47.920966800000002</v>
      </c>
      <c r="K530" s="1">
        <v>106.987116</v>
      </c>
      <c r="L530" s="20">
        <v>0.29166666666666669</v>
      </c>
      <c r="M530" s="20">
        <v>0.91666666666666663</v>
      </c>
      <c r="N530" s="1">
        <v>0.66848520466862293</v>
      </c>
      <c r="O530" s="1">
        <v>109.93897483380813</v>
      </c>
      <c r="P530" s="1">
        <v>0.97430073735376366</v>
      </c>
      <c r="Q530" s="1">
        <v>55.444778494623641</v>
      </c>
      <c r="R530" s="1">
        <v>0.89043445392005094</v>
      </c>
      <c r="S530" s="1">
        <v>129.75457009957833</v>
      </c>
      <c r="T530" s="1">
        <v>0.85983618327165268</v>
      </c>
      <c r="U530" s="1">
        <v>48.687550310498601</v>
      </c>
      <c r="V530" s="1">
        <v>0.68826632948488087</v>
      </c>
      <c r="W530" s="1">
        <v>84.539310004719951</v>
      </c>
      <c r="X530" s="1">
        <v>0.75897065538812525</v>
      </c>
      <c r="Y530" s="1">
        <v>39.278252855001242</v>
      </c>
      <c r="Z530" s="1">
        <v>0.62162077282428363</v>
      </c>
      <c r="AA530" s="1">
        <v>98.663881598793353</v>
      </c>
      <c r="AB530" s="1">
        <v>0.54320797639902241</v>
      </c>
      <c r="AC530" s="1">
        <v>42.634859237536659</v>
      </c>
    </row>
    <row r="531" spans="1:29" x14ac:dyDescent="0.2">
      <c r="A531" s="1" t="s">
        <v>1753</v>
      </c>
      <c r="B531" s="1" t="str">
        <f t="shared" ca="1" si="8"/>
        <v>Open</v>
      </c>
      <c r="C531" s="1" t="s">
        <v>2771</v>
      </c>
      <c r="D531" s="1" t="s">
        <v>1754</v>
      </c>
      <c r="E531" s="1" t="s">
        <v>1755</v>
      </c>
      <c r="F531" s="1" t="s">
        <v>1756</v>
      </c>
      <c r="G531" s="1" t="s">
        <v>1757</v>
      </c>
      <c r="H531" s="24">
        <v>45868</v>
      </c>
      <c r="I531" s="1"/>
      <c r="J531" s="1">
        <v>48.364721000000003</v>
      </c>
      <c r="K531" s="1">
        <v>106.740015</v>
      </c>
      <c r="L531" s="20">
        <v>0</v>
      </c>
      <c r="M531" s="20">
        <v>0.99930555555555556</v>
      </c>
      <c r="N531" s="1">
        <v>0.57642810425468971</v>
      </c>
      <c r="O531" s="1">
        <v>78.075987012987</v>
      </c>
      <c r="P531" s="1">
        <v>0.71489589328290692</v>
      </c>
      <c r="Q531" s="1">
        <v>35.665362995921392</v>
      </c>
      <c r="R531" s="1">
        <v>0.80897283113158946</v>
      </c>
      <c r="S531" s="1">
        <v>99.767078646586867</v>
      </c>
      <c r="T531" s="1">
        <v>0.84677264482004</v>
      </c>
      <c r="U531" s="1">
        <v>45.406152461036235</v>
      </c>
      <c r="V531" s="1">
        <v>0.65656850671821443</v>
      </c>
      <c r="W531" s="1">
        <v>77.096453893608839</v>
      </c>
      <c r="X531" s="1">
        <v>1.1382749302630355</v>
      </c>
      <c r="Y531" s="1">
        <v>56.586024898012006</v>
      </c>
      <c r="Z531" s="1">
        <v>0.67994974142592601</v>
      </c>
      <c r="AA531" s="1">
        <v>93.803601851851852</v>
      </c>
      <c r="AB531" s="1">
        <v>0.403162393517281</v>
      </c>
      <c r="AC531" s="1">
        <v>26.92774846390169</v>
      </c>
    </row>
    <row r="532" spans="1:29" x14ac:dyDescent="0.2">
      <c r="A532" s="1" t="s">
        <v>1758</v>
      </c>
      <c r="B532" s="1" t="str">
        <f t="shared" ca="1" si="8"/>
        <v>Open</v>
      </c>
      <c r="C532" s="1" t="s">
        <v>2770</v>
      </c>
      <c r="D532" s="1" t="s">
        <v>1759</v>
      </c>
      <c r="E532" s="1" t="s">
        <v>1760</v>
      </c>
      <c r="F532" s="1" t="s">
        <v>64</v>
      </c>
      <c r="G532" s="1" t="s">
        <v>2695</v>
      </c>
      <c r="H532" s="24">
        <v>45865</v>
      </c>
      <c r="I532" s="1"/>
      <c r="J532" s="1">
        <v>47.868960999999999</v>
      </c>
      <c r="K532" s="1">
        <v>106.83264800000001</v>
      </c>
      <c r="L532" s="20">
        <v>0</v>
      </c>
      <c r="M532" s="20">
        <v>0.99930555555555556</v>
      </c>
      <c r="N532" s="1">
        <v>0.69864721486363646</v>
      </c>
      <c r="O532" s="1">
        <v>120.28401515151516</v>
      </c>
      <c r="P532" s="1">
        <v>0.72120769895555537</v>
      </c>
      <c r="Q532" s="1">
        <v>41.063599283154126</v>
      </c>
      <c r="R532" s="1">
        <v>0.78637422762158948</v>
      </c>
      <c r="S532" s="1">
        <v>109.5166608688091</v>
      </c>
      <c r="T532" s="1">
        <v>1.0403588229060614</v>
      </c>
      <c r="U532" s="1">
        <v>52.867399772864189</v>
      </c>
      <c r="V532" s="1">
        <v>0.80928465027376995</v>
      </c>
      <c r="W532" s="1">
        <v>95.734273338053285</v>
      </c>
      <c r="X532" s="1">
        <v>0.78523455846859125</v>
      </c>
      <c r="Y532" s="1">
        <v>45.210124898012005</v>
      </c>
      <c r="Z532" s="1">
        <v>0.52922647714743576</v>
      </c>
      <c r="AA532" s="1">
        <v>91.289114130434783</v>
      </c>
      <c r="AB532" s="1">
        <v>0.90143387676996944</v>
      </c>
      <c r="AC532" s="1">
        <v>40.76453072196621</v>
      </c>
    </row>
    <row r="533" spans="1:29" x14ac:dyDescent="0.2">
      <c r="A533" s="1" t="s">
        <v>2501</v>
      </c>
      <c r="B533" s="1" t="str">
        <f t="shared" ca="1" si="8"/>
        <v>Open</v>
      </c>
      <c r="C533" s="1" t="s">
        <v>2771</v>
      </c>
      <c r="D533" s="1" t="s">
        <v>2502</v>
      </c>
      <c r="E533" s="1" t="s">
        <v>2503</v>
      </c>
      <c r="F533" s="1" t="s">
        <v>2276</v>
      </c>
      <c r="G533" s="1" t="s">
        <v>2696</v>
      </c>
      <c r="H533" s="24">
        <v>45879</v>
      </c>
      <c r="I533" s="1"/>
      <c r="J533" s="1">
        <v>45.751860000000001</v>
      </c>
      <c r="K533" s="1">
        <v>106.26511000000001</v>
      </c>
      <c r="L533" s="20">
        <v>0</v>
      </c>
      <c r="M533" s="20">
        <v>0.99930555555555556</v>
      </c>
      <c r="N533" s="1">
        <v>0.71418541918267975</v>
      </c>
      <c r="O533" s="1">
        <v>92.121217320261437</v>
      </c>
      <c r="P533" s="1">
        <v>0.41160573632688174</v>
      </c>
      <c r="Q533" s="1">
        <v>27.544247311827956</v>
      </c>
      <c r="R533" s="1">
        <v>0.70197901827047826</v>
      </c>
      <c r="S533" s="1">
        <v>97.27344901695723</v>
      </c>
      <c r="T533" s="1">
        <v>0.79357774893831945</v>
      </c>
      <c r="U533" s="1">
        <v>41.73486213845559</v>
      </c>
      <c r="V533" s="1">
        <v>0.92811875258555399</v>
      </c>
      <c r="W533" s="1">
        <v>118.48609260370993</v>
      </c>
      <c r="X533" s="1">
        <v>0.90323498291004667</v>
      </c>
      <c r="Y533" s="1">
        <v>51.50120155723215</v>
      </c>
      <c r="Z533" s="1">
        <v>0.66889554845185584</v>
      </c>
      <c r="AA533" s="1">
        <v>101.38720348972925</v>
      </c>
      <c r="AB533" s="1">
        <v>0.33361178346428572</v>
      </c>
      <c r="AC533" s="1">
        <v>25.325798003072205</v>
      </c>
    </row>
    <row r="534" spans="1:29" x14ac:dyDescent="0.2">
      <c r="A534" s="1" t="s">
        <v>1761</v>
      </c>
      <c r="B534" s="1" t="str">
        <f t="shared" ca="1" si="8"/>
        <v>Open</v>
      </c>
      <c r="C534" s="1" t="s">
        <v>2771</v>
      </c>
      <c r="D534" s="1" t="s">
        <v>1762</v>
      </c>
      <c r="E534" s="1" t="s">
        <v>1763</v>
      </c>
      <c r="F534" s="1" t="s">
        <v>1222</v>
      </c>
      <c r="G534" s="1" t="s">
        <v>2697</v>
      </c>
      <c r="H534" s="24">
        <v>45889</v>
      </c>
      <c r="I534" s="1"/>
      <c r="J534" s="1">
        <v>47.701576000000003</v>
      </c>
      <c r="K534" s="1">
        <v>106.945159</v>
      </c>
      <c r="L534" s="20">
        <v>0</v>
      </c>
      <c r="M534" s="20">
        <v>0.99930555555555556</v>
      </c>
      <c r="N534" s="1">
        <v>0.61686428645743596</v>
      </c>
      <c r="O534" s="1">
        <v>73.491889230769246</v>
      </c>
      <c r="P534" s="1">
        <v>0.96891397481531338</v>
      </c>
      <c r="Q534" s="1">
        <v>50.657220850327526</v>
      </c>
      <c r="R534" s="1">
        <v>0.75170069174056364</v>
      </c>
      <c r="S534" s="1">
        <v>101.66164702265525</v>
      </c>
      <c r="T534" s="1">
        <v>0.88597596019638392</v>
      </c>
      <c r="U534" s="1">
        <v>52.68812020297171</v>
      </c>
      <c r="V534" s="1">
        <v>0.85636323247722068</v>
      </c>
      <c r="W534" s="1">
        <v>117.99369677037662</v>
      </c>
      <c r="X534" s="1">
        <v>0.96425775680687209</v>
      </c>
      <c r="Y534" s="1">
        <v>55.43357854135914</v>
      </c>
      <c r="Z534" s="1">
        <v>0.42041207922383256</v>
      </c>
      <c r="AA534" s="1">
        <v>58.686709071390226</v>
      </c>
      <c r="AB534" s="1">
        <v>0.50106846449539166</v>
      </c>
      <c r="AC534" s="1">
        <v>32.486638632872506</v>
      </c>
    </row>
    <row r="535" spans="1:29" x14ac:dyDescent="0.2">
      <c r="A535" s="1" t="s">
        <v>2504</v>
      </c>
      <c r="B535" s="1" t="str">
        <f t="shared" ca="1" si="8"/>
        <v>Open</v>
      </c>
      <c r="C535" s="1" t="s">
        <v>2771</v>
      </c>
      <c r="D535" s="1" t="s">
        <v>2505</v>
      </c>
      <c r="E535" s="1" t="s">
        <v>2506</v>
      </c>
      <c r="F535" s="1" t="s">
        <v>2280</v>
      </c>
      <c r="G535" s="1" t="s">
        <v>2507</v>
      </c>
      <c r="H535" s="24">
        <v>45890</v>
      </c>
      <c r="I535" s="1"/>
      <c r="J535" s="1">
        <v>44.886654999999998</v>
      </c>
      <c r="K535" s="1">
        <v>110.136993</v>
      </c>
      <c r="L535" s="20">
        <v>0.29166666666666669</v>
      </c>
      <c r="M535" s="20">
        <v>0.99930555555555556</v>
      </c>
      <c r="N535" s="1">
        <v>0.58809982332395372</v>
      </c>
      <c r="O535" s="1">
        <v>77.67282683982684</v>
      </c>
      <c r="P535" s="1">
        <v>0.7354971603046595</v>
      </c>
      <c r="Q535" s="1">
        <v>45.529325089605727</v>
      </c>
      <c r="R535" s="1">
        <v>0.76079522373453068</v>
      </c>
      <c r="S535" s="1">
        <v>102.6534773393973</v>
      </c>
      <c r="T535" s="1">
        <v>0.89755919520713656</v>
      </c>
      <c r="U535" s="1">
        <v>48.02693740727279</v>
      </c>
      <c r="V535" s="1">
        <v>0.84459140762722074</v>
      </c>
      <c r="W535" s="1">
        <v>118.56778010370994</v>
      </c>
      <c r="X535" s="1">
        <v>1.2593693703674782</v>
      </c>
      <c r="Y535" s="1">
        <v>56.15960126863186</v>
      </c>
      <c r="Z535" s="1">
        <v>0.49288404783319412</v>
      </c>
      <c r="AA535" s="1">
        <v>82.592136034530768</v>
      </c>
      <c r="AB535" s="1">
        <v>0.56106319959101392</v>
      </c>
      <c r="AC535" s="1">
        <v>35.114140937019961</v>
      </c>
    </row>
    <row r="536" spans="1:29" x14ac:dyDescent="0.2">
      <c r="A536" s="1" t="s">
        <v>2508</v>
      </c>
      <c r="B536" s="1" t="str">
        <f t="shared" ca="1" si="8"/>
        <v>Open</v>
      </c>
      <c r="C536" s="1" t="s">
        <v>2771</v>
      </c>
      <c r="D536" s="1" t="s">
        <v>2509</v>
      </c>
      <c r="E536" s="1" t="s">
        <v>2510</v>
      </c>
      <c r="F536" s="1" t="s">
        <v>2511</v>
      </c>
      <c r="G536" s="1" t="s">
        <v>2512</v>
      </c>
      <c r="H536" s="24">
        <v>45897</v>
      </c>
      <c r="I536" s="1"/>
      <c r="J536" s="1">
        <v>47.909095999999998</v>
      </c>
      <c r="K536" s="1">
        <v>105.587082</v>
      </c>
      <c r="L536" s="20">
        <v>0</v>
      </c>
      <c r="M536" s="20">
        <v>0.99930555555555556</v>
      </c>
      <c r="N536" s="1">
        <v>0.49863610443944451</v>
      </c>
      <c r="O536" s="1">
        <v>76.233322264957252</v>
      </c>
      <c r="P536" s="1">
        <v>0.48846688899462359</v>
      </c>
      <c r="Q536" s="1">
        <v>21.335040501792122</v>
      </c>
      <c r="R536" s="1">
        <v>0.6874840992511545</v>
      </c>
      <c r="S536" s="1">
        <v>90.413895071707643</v>
      </c>
      <c r="T536" s="1">
        <v>0.84652919363724421</v>
      </c>
      <c r="U536" s="1">
        <v>40.633733106197525</v>
      </c>
      <c r="V536" s="1">
        <v>0.92053739661526512</v>
      </c>
      <c r="W536" s="1">
        <v>133.18199833686319</v>
      </c>
      <c r="X536" s="1">
        <v>1.8872108455290941</v>
      </c>
      <c r="Y536" s="1">
        <v>71.678772985803576</v>
      </c>
      <c r="Z536" s="1">
        <v>0.5524989670517676</v>
      </c>
      <c r="AA536" s="1">
        <v>83.281157323232335</v>
      </c>
      <c r="AB536" s="1">
        <v>0.40805544639465818</v>
      </c>
      <c r="AC536" s="1">
        <v>23.57514582340167</v>
      </c>
    </row>
    <row r="537" spans="1:29" x14ac:dyDescent="0.2">
      <c r="A537" s="1" t="s">
        <v>1764</v>
      </c>
      <c r="B537" s="1" t="str">
        <f t="shared" ca="1" si="8"/>
        <v>Open</v>
      </c>
      <c r="C537" s="1" t="s">
        <v>2770</v>
      </c>
      <c r="D537" s="1" t="s">
        <v>1765</v>
      </c>
      <c r="E537" s="1" t="s">
        <v>1766</v>
      </c>
      <c r="F537" s="1" t="s">
        <v>64</v>
      </c>
      <c r="G537" s="1" t="s">
        <v>1767</v>
      </c>
      <c r="H537" s="24">
        <v>45890</v>
      </c>
      <c r="I537" s="1"/>
      <c r="J537" s="1">
        <v>47.899925000000003</v>
      </c>
      <c r="K537" s="1">
        <v>106.888161</v>
      </c>
      <c r="L537" s="20">
        <v>0</v>
      </c>
      <c r="M537" s="20">
        <v>0.99930555555555556</v>
      </c>
      <c r="N537" s="1">
        <v>0.53655592588406298</v>
      </c>
      <c r="O537" s="1">
        <v>93.52543315375982</v>
      </c>
      <c r="P537" s="1">
        <v>0.69741020232495343</v>
      </c>
      <c r="Q537" s="1">
        <v>40.366116215548139</v>
      </c>
      <c r="R537" s="1">
        <v>0.73656593652825608</v>
      </c>
      <c r="S537" s="1">
        <v>109.65154086880909</v>
      </c>
      <c r="T537" s="1">
        <v>0.88742463262756666</v>
      </c>
      <c r="U537" s="1">
        <v>45.511581493294294</v>
      </c>
      <c r="V537" s="1">
        <v>0.75671493421055402</v>
      </c>
      <c r="W537" s="1">
        <v>101.08178010370993</v>
      </c>
      <c r="X537" s="1">
        <v>0.94634728964020554</v>
      </c>
      <c r="Y537" s="1">
        <v>46.857116420147015</v>
      </c>
      <c r="Z537" s="1">
        <v>0.41446210734848482</v>
      </c>
      <c r="AA537" s="1">
        <v>94.327760970913133</v>
      </c>
      <c r="AB537" s="1">
        <v>0.35991814247695864</v>
      </c>
      <c r="AC537" s="1">
        <v>28.352200844854071</v>
      </c>
    </row>
    <row r="538" spans="1:29" x14ac:dyDescent="0.2">
      <c r="A538" s="1" t="s">
        <v>2513</v>
      </c>
      <c r="B538" s="1" t="str">
        <f t="shared" ca="1" si="8"/>
        <v>Open</v>
      </c>
      <c r="C538" s="1" t="s">
        <v>2771</v>
      </c>
      <c r="D538" s="1" t="s">
        <v>2514</v>
      </c>
      <c r="E538" s="1" t="s">
        <v>2515</v>
      </c>
      <c r="F538" s="1" t="s">
        <v>2516</v>
      </c>
      <c r="G538" s="1" t="s">
        <v>2698</v>
      </c>
      <c r="H538" s="24">
        <v>45911</v>
      </c>
      <c r="I538" s="1"/>
      <c r="J538" s="1">
        <v>46.680984000000002</v>
      </c>
      <c r="K538" s="1">
        <v>113.275657</v>
      </c>
      <c r="L538" s="20">
        <v>0</v>
      </c>
      <c r="M538" s="20">
        <v>0.99930555555555556</v>
      </c>
      <c r="N538" s="1">
        <v>0.88145924147125809</v>
      </c>
      <c r="O538" s="1">
        <v>116.93255340397029</v>
      </c>
      <c r="P538" s="1">
        <v>1.5479147477114692</v>
      </c>
      <c r="Q538" s="1">
        <v>71.87935322580644</v>
      </c>
      <c r="R538" s="1">
        <v>0.75109528206677456</v>
      </c>
      <c r="S538" s="1">
        <v>100.07944901695724</v>
      </c>
      <c r="T538" s="1">
        <v>0.90741911434692157</v>
      </c>
      <c r="U538" s="1">
        <v>49.612894396520097</v>
      </c>
      <c r="V538" s="1">
        <v>0.92053739661526512</v>
      </c>
      <c r="W538" s="1">
        <v>133.18199833686319</v>
      </c>
      <c r="X538" s="1">
        <v>1.0622171211785376</v>
      </c>
      <c r="Y538" s="1">
        <v>52.728527320208435</v>
      </c>
      <c r="Z538" s="1">
        <v>0.77576497005291001</v>
      </c>
      <c r="AA538" s="1">
        <v>101.22137698412696</v>
      </c>
      <c r="AB538" s="1">
        <v>0.80927586835023069</v>
      </c>
      <c r="AC538" s="1">
        <v>47.731037634408601</v>
      </c>
    </row>
    <row r="539" spans="1:29" x14ac:dyDescent="0.2">
      <c r="A539" s="1" t="s">
        <v>2517</v>
      </c>
      <c r="B539" s="1" t="str">
        <f t="shared" ca="1" si="8"/>
        <v>Open</v>
      </c>
      <c r="C539" s="1" t="s">
        <v>2771</v>
      </c>
      <c r="D539" s="1" t="s">
        <v>2518</v>
      </c>
      <c r="E539" s="1" t="s">
        <v>2519</v>
      </c>
      <c r="F539" s="1" t="s">
        <v>2516</v>
      </c>
      <c r="G539" s="1" t="s">
        <v>2520</v>
      </c>
      <c r="H539" s="24">
        <v>45911</v>
      </c>
      <c r="I539" s="1"/>
      <c r="J539" s="1">
        <v>46.682918999999998</v>
      </c>
      <c r="K539" s="1">
        <v>113.27866299999999</v>
      </c>
      <c r="L539" s="20">
        <v>0</v>
      </c>
      <c r="M539" s="20">
        <v>0.99930555555555556</v>
      </c>
      <c r="N539" s="1">
        <v>0.82090401102437582</v>
      </c>
      <c r="O539" s="1">
        <v>120.16855254723349</v>
      </c>
      <c r="P539" s="1">
        <v>1.8225434413082062</v>
      </c>
      <c r="Q539" s="1">
        <v>72.275892850405583</v>
      </c>
      <c r="R539" s="1">
        <v>0.69930508352194032</v>
      </c>
      <c r="S539" s="1">
        <v>88.960564026703821</v>
      </c>
      <c r="T539" s="1">
        <v>0.93821827172326566</v>
      </c>
      <c r="U539" s="1">
        <v>49.076356762111494</v>
      </c>
      <c r="V539" s="1">
        <v>0.92053739661526512</v>
      </c>
      <c r="W539" s="1">
        <v>133.18199833686319</v>
      </c>
      <c r="X539" s="1">
        <v>1.0622171211785376</v>
      </c>
      <c r="Y539" s="1">
        <v>52.728527320208435</v>
      </c>
      <c r="Z539" s="1">
        <v>0.54115700542339551</v>
      </c>
      <c r="AA539" s="1">
        <v>92.995629399585894</v>
      </c>
      <c r="AB539" s="1">
        <v>0.79835341866082965</v>
      </c>
      <c r="AC539" s="1">
        <v>41.999515975422419</v>
      </c>
    </row>
    <row r="540" spans="1:29" x14ac:dyDescent="0.2">
      <c r="A540" s="1" t="s">
        <v>2521</v>
      </c>
      <c r="B540" s="1" t="str">
        <f t="shared" ca="1" si="8"/>
        <v>Open</v>
      </c>
      <c r="C540" s="1" t="s">
        <v>2771</v>
      </c>
      <c r="D540" s="1" t="s">
        <v>2522</v>
      </c>
      <c r="E540" s="1" t="s">
        <v>2523</v>
      </c>
      <c r="F540" s="1" t="s">
        <v>2391</v>
      </c>
      <c r="G540" s="1" t="s">
        <v>2524</v>
      </c>
      <c r="H540" s="24">
        <v>45900</v>
      </c>
      <c r="I540" s="1"/>
      <c r="J540" s="1">
        <v>49.638852100000001</v>
      </c>
      <c r="K540" s="1">
        <v>100.160239</v>
      </c>
      <c r="L540" s="20">
        <v>0</v>
      </c>
      <c r="M540" s="20">
        <v>0.99930555555555556</v>
      </c>
      <c r="N540" s="1">
        <v>0.96889749117692325</v>
      </c>
      <c r="O540" s="1">
        <v>129.24886923076926</v>
      </c>
      <c r="P540" s="1">
        <v>0.54875829155833333</v>
      </c>
      <c r="Q540" s="1">
        <v>37.058286111111109</v>
      </c>
      <c r="R540" s="1">
        <v>0.78939946486876889</v>
      </c>
      <c r="S540" s="1">
        <v>109.04296753547574</v>
      </c>
      <c r="T540" s="1">
        <v>0.82427949014262047</v>
      </c>
      <c r="U540" s="1">
        <v>44.749109450283548</v>
      </c>
      <c r="V540" s="1">
        <v>0.92053739661526512</v>
      </c>
      <c r="W540" s="1">
        <v>133.18199833686319</v>
      </c>
      <c r="X540" s="1">
        <v>1.1688898973068722</v>
      </c>
      <c r="Y540" s="1">
        <v>75.51366187469246</v>
      </c>
      <c r="Z540" s="1">
        <v>0.60309936047619039</v>
      </c>
      <c r="AA540" s="1">
        <v>73.716066666666677</v>
      </c>
      <c r="AB540" s="1">
        <v>0.3145300840668202</v>
      </c>
      <c r="AC540" s="1">
        <v>22.448808371735794</v>
      </c>
    </row>
    <row r="541" spans="1:29" x14ac:dyDescent="0.2">
      <c r="A541" s="1" t="s">
        <v>1768</v>
      </c>
      <c r="B541" s="1" t="str">
        <f t="shared" ca="1" si="8"/>
        <v>Open</v>
      </c>
      <c r="C541" s="1" t="s">
        <v>2770</v>
      </c>
      <c r="D541" s="1" t="s">
        <v>1769</v>
      </c>
      <c r="E541" s="1" t="s">
        <v>1770</v>
      </c>
      <c r="F541" s="1" t="s">
        <v>145</v>
      </c>
      <c r="G541" s="1" t="s">
        <v>1771</v>
      </c>
      <c r="H541" s="24">
        <v>45898</v>
      </c>
      <c r="I541" s="1"/>
      <c r="J541" s="1">
        <v>47.8885243</v>
      </c>
      <c r="K541" s="1">
        <v>106.591497</v>
      </c>
      <c r="L541" s="20">
        <v>0</v>
      </c>
      <c r="M541" s="20">
        <v>0.99930555555555556</v>
      </c>
      <c r="N541" s="1">
        <v>0.64748035615050326</v>
      </c>
      <c r="O541" s="1">
        <v>90.07578474833808</v>
      </c>
      <c r="P541" s="1">
        <v>0.63584627804874561</v>
      </c>
      <c r="Q541" s="1">
        <v>42.887971684587804</v>
      </c>
      <c r="R541" s="1">
        <v>0.68493158565082013</v>
      </c>
      <c r="S541" s="1">
        <v>84.522249586757809</v>
      </c>
      <c r="T541" s="1">
        <v>0.81889209144369579</v>
      </c>
      <c r="U541" s="1">
        <v>41.655120202971716</v>
      </c>
      <c r="V541" s="1">
        <v>0.88941809271055394</v>
      </c>
      <c r="W541" s="1">
        <v>118.33936343704325</v>
      </c>
      <c r="X541" s="1">
        <v>1.0365153165290943</v>
      </c>
      <c r="Y541" s="1">
        <v>57.104772985803585</v>
      </c>
      <c r="Z541" s="1">
        <v>0.52626044181456699</v>
      </c>
      <c r="AA541" s="1">
        <v>83.593425760766351</v>
      </c>
      <c r="AB541" s="1">
        <v>0.4805690588394777</v>
      </c>
      <c r="AC541" s="1">
        <v>29.706839477726579</v>
      </c>
    </row>
    <row r="542" spans="1:29" x14ac:dyDescent="0.2">
      <c r="A542" s="1" t="s">
        <v>1772</v>
      </c>
      <c r="B542" s="1" t="str">
        <f t="shared" ca="1" si="8"/>
        <v>Open</v>
      </c>
      <c r="C542" s="1" t="s">
        <v>2770</v>
      </c>
      <c r="D542" s="1" t="s">
        <v>1773</v>
      </c>
      <c r="E542" s="1" t="s">
        <v>1774</v>
      </c>
      <c r="F542" s="1" t="s">
        <v>28</v>
      </c>
      <c r="G542" s="1" t="s">
        <v>1775</v>
      </c>
      <c r="H542" s="24">
        <v>45896</v>
      </c>
      <c r="I542" s="1"/>
      <c r="J542" s="1">
        <v>47.922238499999999</v>
      </c>
      <c r="K542" s="1">
        <v>106.86086400000001</v>
      </c>
      <c r="L542" s="20">
        <v>0</v>
      </c>
      <c r="M542" s="20">
        <v>0.99930555555555556</v>
      </c>
      <c r="N542" s="1">
        <v>0.66280694163520881</v>
      </c>
      <c r="O542" s="1">
        <v>103.63263366571699</v>
      </c>
      <c r="P542" s="1">
        <v>0.69965811365304642</v>
      </c>
      <c r="Q542" s="1">
        <v>42.976839784946243</v>
      </c>
      <c r="R542" s="1">
        <v>0.95552513935594841</v>
      </c>
      <c r="S542" s="1">
        <v>137.75004445855265</v>
      </c>
      <c r="T542" s="1">
        <v>1.124119735497459</v>
      </c>
      <c r="U542" s="1">
        <v>59.289378267487848</v>
      </c>
      <c r="V542" s="1">
        <v>0.81182788309944298</v>
      </c>
      <c r="W542" s="1">
        <v>107.61041899259881</v>
      </c>
      <c r="X542" s="1">
        <v>1.132324814773539</v>
      </c>
      <c r="Y542" s="1">
        <v>58.541661874692466</v>
      </c>
      <c r="Z542" s="1">
        <v>0.94129677594739647</v>
      </c>
      <c r="AA542" s="1">
        <v>162.46276811594205</v>
      </c>
      <c r="AB542" s="1">
        <v>0.89295503636443929</v>
      </c>
      <c r="AC542" s="1">
        <v>49.101852918586793</v>
      </c>
    </row>
    <row r="543" spans="1:29" x14ac:dyDescent="0.2">
      <c r="A543" s="1" t="s">
        <v>2525</v>
      </c>
      <c r="B543" s="1" t="str">
        <f t="shared" ca="1" si="8"/>
        <v>Open</v>
      </c>
      <c r="C543" s="1" t="s">
        <v>2771</v>
      </c>
      <c r="D543" s="1" t="s">
        <v>2526</v>
      </c>
      <c r="E543" s="1" t="s">
        <v>2527</v>
      </c>
      <c r="F543" s="1" t="s">
        <v>2528</v>
      </c>
      <c r="G543" s="1" t="s">
        <v>2529</v>
      </c>
      <c r="H543" s="24">
        <v>45981</v>
      </c>
      <c r="I543" s="1"/>
      <c r="J543" s="1">
        <v>44.8983244</v>
      </c>
      <c r="K543" s="1">
        <v>110.137946</v>
      </c>
      <c r="L543" s="20">
        <v>0</v>
      </c>
      <c r="M543" s="20">
        <v>0.99930555555555556</v>
      </c>
      <c r="N543" s="1">
        <v>0.65158540081531047</v>
      </c>
      <c r="O543" s="1">
        <v>102.42586069867161</v>
      </c>
      <c r="P543" s="1">
        <v>0.90636973968429346</v>
      </c>
      <c r="Q543" s="1">
        <v>47.493976149719209</v>
      </c>
      <c r="R543" s="1">
        <v>0.70138807984455243</v>
      </c>
      <c r="S543" s="1">
        <v>89.821393461401669</v>
      </c>
      <c r="T543" s="1">
        <v>0.91560451541143772</v>
      </c>
      <c r="U543" s="1">
        <v>46.863270740606133</v>
      </c>
      <c r="V543" s="1">
        <v>0.92053739661526512</v>
      </c>
      <c r="W543" s="1">
        <v>133.18199833686319</v>
      </c>
      <c r="X543" s="1">
        <v>1.0622171211785376</v>
      </c>
      <c r="Y543" s="1">
        <v>52.728527320208435</v>
      </c>
      <c r="Z543" s="1">
        <v>0.70027368885176722</v>
      </c>
      <c r="AA543" s="1">
        <v>87.709607780320368</v>
      </c>
      <c r="AB543" s="1">
        <v>0.51341016811943163</v>
      </c>
      <c r="AC543" s="1">
        <v>37.879882104454694</v>
      </c>
    </row>
    <row r="544" spans="1:29" x14ac:dyDescent="0.2">
      <c r="A544" s="1" t="s">
        <v>1776</v>
      </c>
      <c r="B544" s="1" t="str">
        <f t="shared" ca="1" si="8"/>
        <v>Open</v>
      </c>
      <c r="C544" s="1" t="s">
        <v>2770</v>
      </c>
      <c r="D544" s="1" t="s">
        <v>1777</v>
      </c>
      <c r="E544" s="1" t="s">
        <v>1778</v>
      </c>
      <c r="F544" s="1" t="s">
        <v>28</v>
      </c>
      <c r="G544" s="1" t="s">
        <v>1779</v>
      </c>
      <c r="H544" s="24">
        <v>45917</v>
      </c>
      <c r="I544" s="1"/>
      <c r="J544" s="1">
        <v>47.903545999999999</v>
      </c>
      <c r="K544" s="1">
        <v>106.854085</v>
      </c>
      <c r="L544" s="20">
        <v>0</v>
      </c>
      <c r="M544" s="20">
        <v>0.99930555555555556</v>
      </c>
      <c r="N544" s="1">
        <v>0.58489012294850717</v>
      </c>
      <c r="O544" s="1">
        <v>114.0019439281706</v>
      </c>
      <c r="P544" s="1">
        <v>0.5570436728888889</v>
      </c>
      <c r="Q544" s="1">
        <v>40.9342198156682</v>
      </c>
      <c r="R544" s="1">
        <v>0.80064146294569205</v>
      </c>
      <c r="S544" s="1">
        <v>125.28310856111678</v>
      </c>
      <c r="T544" s="1">
        <v>0.84575144034692151</v>
      </c>
      <c r="U544" s="1">
        <v>46.443819127702888</v>
      </c>
      <c r="V544" s="1">
        <v>0.92053739661526512</v>
      </c>
      <c r="W544" s="1">
        <v>133.18199833686319</v>
      </c>
      <c r="X544" s="1">
        <v>1.0622171211785376</v>
      </c>
      <c r="Y544" s="1">
        <v>52.728527320208435</v>
      </c>
      <c r="Z544" s="1">
        <v>0.64824747608964051</v>
      </c>
      <c r="AA544" s="1">
        <v>130.48066451959204</v>
      </c>
      <c r="AB544" s="1">
        <v>0.66187114870414743</v>
      </c>
      <c r="AC544" s="1">
        <v>38.819715437788012</v>
      </c>
    </row>
    <row r="545" spans="1:29" x14ac:dyDescent="0.2">
      <c r="A545" s="1" t="s">
        <v>1780</v>
      </c>
      <c r="B545" s="1" t="str">
        <f t="shared" ca="1" si="8"/>
        <v>Open</v>
      </c>
      <c r="C545" s="1" t="s">
        <v>2770</v>
      </c>
      <c r="D545" s="1" t="s">
        <v>1781</v>
      </c>
      <c r="E545" s="1" t="s">
        <v>1782</v>
      </c>
      <c r="F545" s="1" t="s">
        <v>145</v>
      </c>
      <c r="G545" s="1" t="s">
        <v>1783</v>
      </c>
      <c r="H545" s="24">
        <v>45917</v>
      </c>
      <c r="I545" s="1"/>
      <c r="J545" s="1">
        <v>47.924750099999997</v>
      </c>
      <c r="K545" s="1">
        <v>106.808156</v>
      </c>
      <c r="L545" s="20">
        <v>0</v>
      </c>
      <c r="M545" s="20">
        <v>0.99930555555555556</v>
      </c>
      <c r="N545" s="1">
        <v>0.34977795453968258</v>
      </c>
      <c r="O545" s="1">
        <v>47.526502886002881</v>
      </c>
      <c r="P545" s="1">
        <v>0.83138021859206346</v>
      </c>
      <c r="Q545" s="1">
        <v>40.498468253968262</v>
      </c>
      <c r="R545" s="1">
        <v>0.68586420530583181</v>
      </c>
      <c r="S545" s="1">
        <v>89.125997838506052</v>
      </c>
      <c r="T545" s="1">
        <v>0.83973763711036253</v>
      </c>
      <c r="U545" s="1">
        <v>46.435238482541614</v>
      </c>
      <c r="V545" s="1">
        <v>0.92053739661526512</v>
      </c>
      <c r="W545" s="1">
        <v>133.18199833686319</v>
      </c>
      <c r="X545" s="1">
        <v>1.0622171211785376</v>
      </c>
      <c r="Y545" s="1">
        <v>52.728527320208435</v>
      </c>
      <c r="Z545" s="1">
        <v>0.37427786410641023</v>
      </c>
      <c r="AA545" s="1">
        <v>52.308091025641033</v>
      </c>
      <c r="AB545" s="1">
        <v>0.54017471320161292</v>
      </c>
      <c r="AC545" s="1">
        <v>34.460967357910903</v>
      </c>
    </row>
    <row r="546" spans="1:29" x14ac:dyDescent="0.2">
      <c r="A546" s="1" t="s">
        <v>1784</v>
      </c>
      <c r="B546" s="1" t="str">
        <f t="shared" ca="1" si="8"/>
        <v>Open</v>
      </c>
      <c r="C546" s="1" t="s">
        <v>2770</v>
      </c>
      <c r="D546" s="1" t="s">
        <v>1785</v>
      </c>
      <c r="E546" s="1" t="s">
        <v>1786</v>
      </c>
      <c r="F546" s="1" t="s">
        <v>11</v>
      </c>
      <c r="G546" s="1" t="s">
        <v>1787</v>
      </c>
      <c r="H546" s="24">
        <v>45919</v>
      </c>
      <c r="I546" s="1"/>
      <c r="J546" s="1">
        <v>47.913001700000002</v>
      </c>
      <c r="K546" s="1">
        <v>106.913494</v>
      </c>
      <c r="L546" s="20">
        <v>0.29166666666666669</v>
      </c>
      <c r="M546" s="20">
        <v>0.99930555555555556</v>
      </c>
      <c r="N546" s="1">
        <v>0.61894893454172828</v>
      </c>
      <c r="O546" s="1">
        <v>103.40319580246914</v>
      </c>
      <c r="P546" s="1">
        <v>1.0688255977537635</v>
      </c>
      <c r="Q546" s="1">
        <v>50.558978136200714</v>
      </c>
      <c r="R546" s="1">
        <v>0.78667801630466638</v>
      </c>
      <c r="S546" s="1">
        <v>116.7849931765014</v>
      </c>
      <c r="T546" s="1">
        <v>1.0749771698092871</v>
      </c>
      <c r="U546" s="1">
        <v>54.199948159960968</v>
      </c>
      <c r="V546" s="1">
        <v>0.92053739661526512</v>
      </c>
      <c r="W546" s="1">
        <v>133.18199833686319</v>
      </c>
      <c r="X546" s="1">
        <v>1.0622171211785376</v>
      </c>
      <c r="Y546" s="1">
        <v>52.728527320208435</v>
      </c>
      <c r="Z546" s="1">
        <v>0.50731156970263014</v>
      </c>
      <c r="AA546" s="1">
        <v>115.65941331186259</v>
      </c>
      <c r="AB546" s="1">
        <v>0.95805978467818731</v>
      </c>
      <c r="AC546" s="1">
        <v>47.691836405529955</v>
      </c>
    </row>
    <row r="547" spans="1:29" x14ac:dyDescent="0.2">
      <c r="A547" s="1" t="s">
        <v>1788</v>
      </c>
      <c r="B547" s="1" t="str">
        <f t="shared" ca="1" si="8"/>
        <v>Open</v>
      </c>
      <c r="C547" s="1" t="s">
        <v>2770</v>
      </c>
      <c r="D547" s="1" t="s">
        <v>1789</v>
      </c>
      <c r="E547" s="1" t="s">
        <v>1790</v>
      </c>
      <c r="F547" s="1" t="s">
        <v>64</v>
      </c>
      <c r="G547" s="1" t="s">
        <v>1791</v>
      </c>
      <c r="H547" s="24">
        <v>45923</v>
      </c>
      <c r="I547" s="1"/>
      <c r="J547" s="1">
        <v>47.855778999999998</v>
      </c>
      <c r="K547" s="1">
        <v>106.758245</v>
      </c>
      <c r="L547" s="20">
        <v>0</v>
      </c>
      <c r="M547" s="20">
        <v>0.99930555555555556</v>
      </c>
      <c r="N547" s="1">
        <v>0.38917905527931618</v>
      </c>
      <c r="O547" s="1">
        <v>58.163572307692299</v>
      </c>
      <c r="P547" s="1">
        <v>0.40225912095259869</v>
      </c>
      <c r="Q547" s="1">
        <v>30.756220878136194</v>
      </c>
      <c r="R547" s="1">
        <v>0.83380591686876881</v>
      </c>
      <c r="S547" s="1">
        <v>121.64062138162963</v>
      </c>
      <c r="T547" s="1">
        <v>0.86312233535767424</v>
      </c>
      <c r="U547" s="1">
        <v>46.632259987917941</v>
      </c>
      <c r="V547" s="1">
        <v>0.92053739661526512</v>
      </c>
      <c r="W547" s="1">
        <v>133.18199833686319</v>
      </c>
      <c r="X547" s="1">
        <v>1.0622171211785376</v>
      </c>
      <c r="Y547" s="1">
        <v>52.728527320208435</v>
      </c>
      <c r="Z547" s="1">
        <v>0.61608746304938278</v>
      </c>
      <c r="AA547" s="1">
        <v>123.55037808641976</v>
      </c>
      <c r="AB547" s="1">
        <v>0.48034608528494616</v>
      </c>
      <c r="AC547" s="1">
        <v>32.529954301075264</v>
      </c>
    </row>
    <row r="548" spans="1:29" x14ac:dyDescent="0.2">
      <c r="A548" s="1" t="s">
        <v>2530</v>
      </c>
      <c r="B548" s="1" t="str">
        <f t="shared" ca="1" si="8"/>
        <v>Open</v>
      </c>
      <c r="C548" s="1" t="s">
        <v>2771</v>
      </c>
      <c r="D548" s="1" t="s">
        <v>2531</v>
      </c>
      <c r="E548" s="1" t="s">
        <v>2532</v>
      </c>
      <c r="F548" s="1" t="s">
        <v>2533</v>
      </c>
      <c r="G548" s="1" t="s">
        <v>2534</v>
      </c>
      <c r="H548" s="24">
        <v>45930</v>
      </c>
      <c r="I548" s="1"/>
      <c r="J548" s="1">
        <v>46.897552500000003</v>
      </c>
      <c r="K548" s="1">
        <v>102.764809</v>
      </c>
      <c r="L548" s="20">
        <v>0</v>
      </c>
      <c r="M548" s="20">
        <v>0.99930555555555556</v>
      </c>
      <c r="N548" s="1">
        <v>0.32414126712499991</v>
      </c>
      <c r="O548" s="1">
        <v>37.962375000000002</v>
      </c>
      <c r="P548" s="1">
        <v>1.4956237515777779</v>
      </c>
      <c r="Q548" s="1">
        <v>89.822376344086024</v>
      </c>
      <c r="R548" s="1">
        <v>0.73629309131141396</v>
      </c>
      <c r="S548" s="1">
        <v>87.859265781089789</v>
      </c>
      <c r="T548" s="1">
        <v>0.88604254007201122</v>
      </c>
      <c r="U548" s="1">
        <v>46.79602593773874</v>
      </c>
      <c r="V548" s="1">
        <v>0.92053739661526512</v>
      </c>
      <c r="W548" s="1">
        <v>133.18199833686319</v>
      </c>
      <c r="X548" s="1">
        <v>1.0622171211785376</v>
      </c>
      <c r="Y548" s="1">
        <v>52.728527320208435</v>
      </c>
      <c r="Z548" s="1">
        <v>0.4707633595252525</v>
      </c>
      <c r="AA548" s="1">
        <v>63.147732323232312</v>
      </c>
      <c r="AB548" s="1">
        <v>0.63064239535099864</v>
      </c>
      <c r="AC548" s="1">
        <v>35.328569124423957</v>
      </c>
    </row>
    <row r="549" spans="1:29" x14ac:dyDescent="0.2">
      <c r="A549" s="1" t="s">
        <v>1792</v>
      </c>
      <c r="B549" s="1" t="str">
        <f t="shared" ca="1" si="8"/>
        <v>Open</v>
      </c>
      <c r="C549" s="1" t="s">
        <v>2770</v>
      </c>
      <c r="D549" s="1" t="s">
        <v>1793</v>
      </c>
      <c r="E549" s="1" t="s">
        <v>1794</v>
      </c>
      <c r="F549" s="1" t="s">
        <v>33</v>
      </c>
      <c r="G549" s="1" t="s">
        <v>2699</v>
      </c>
      <c r="H549" s="24">
        <v>45984</v>
      </c>
      <c r="I549" s="1"/>
      <c r="J549" s="1">
        <v>47.9193839</v>
      </c>
      <c r="K549" s="1">
        <v>106.90621</v>
      </c>
      <c r="L549" s="20">
        <v>0</v>
      </c>
      <c r="M549" s="20">
        <v>0.99930555555555556</v>
      </c>
      <c r="N549" s="1">
        <v>0.64256523391253262</v>
      </c>
      <c r="O549" s="1">
        <v>98.57879125422717</v>
      </c>
      <c r="P549" s="1">
        <v>0.94805534627899046</v>
      </c>
      <c r="Q549" s="1">
        <v>53.994389028507094</v>
      </c>
      <c r="R549" s="1">
        <v>0.72613307812517913</v>
      </c>
      <c r="S549" s="1">
        <v>107.03635215086035</v>
      </c>
      <c r="T549" s="1">
        <v>0.87042985846520116</v>
      </c>
      <c r="U549" s="1">
        <v>44.880679342756657</v>
      </c>
      <c r="V549" s="1">
        <v>0.92053739661526512</v>
      </c>
      <c r="W549" s="1">
        <v>133.18199833686319</v>
      </c>
      <c r="X549" s="1">
        <v>1.0622171211785376</v>
      </c>
      <c r="Y549" s="1">
        <v>52.728527320208435</v>
      </c>
      <c r="Z549" s="1">
        <v>0.33916084011418723</v>
      </c>
      <c r="AA549" s="1">
        <v>69.861989491721374</v>
      </c>
      <c r="AB549" s="1">
        <v>0.55018294612519225</v>
      </c>
      <c r="AC549" s="1">
        <v>32.392567972350228</v>
      </c>
    </row>
    <row r="550" spans="1:29" x14ac:dyDescent="0.2">
      <c r="A550" s="1" t="s">
        <v>2535</v>
      </c>
      <c r="B550" s="1" t="str">
        <f t="shared" ca="1" si="8"/>
        <v>Open</v>
      </c>
      <c r="C550" s="1" t="s">
        <v>2771</v>
      </c>
      <c r="D550" s="1" t="s">
        <v>2536</v>
      </c>
      <c r="E550" s="1" t="s">
        <v>2537</v>
      </c>
      <c r="F550" s="1" t="s">
        <v>2533</v>
      </c>
      <c r="G550" s="1" t="s">
        <v>2538</v>
      </c>
      <c r="H550" s="24">
        <v>45930</v>
      </c>
      <c r="I550" s="1"/>
      <c r="J550" s="1">
        <v>46.254747999999999</v>
      </c>
      <c r="K550" s="1">
        <v>109.424815</v>
      </c>
      <c r="L550" s="20">
        <v>0.29166666666666669</v>
      </c>
      <c r="M550" s="20">
        <v>0.99930555555555556</v>
      </c>
      <c r="N550" s="1">
        <v>0.40405702534271604</v>
      </c>
      <c r="O550" s="1">
        <v>44.618708148148151</v>
      </c>
      <c r="P550" s="1">
        <v>2.6749958620197134</v>
      </c>
      <c r="Q550" s="1">
        <v>64.544368100358426</v>
      </c>
      <c r="R550" s="1">
        <v>0.79750401725195985</v>
      </c>
      <c r="S550" s="1">
        <v>107.35989346140167</v>
      </c>
      <c r="T550" s="1">
        <v>1.1624328106587496</v>
      </c>
      <c r="U550" s="1">
        <v>62.761238482541593</v>
      </c>
      <c r="V550" s="1">
        <v>0.92053739661526512</v>
      </c>
      <c r="W550" s="1">
        <v>133.18199833686319</v>
      </c>
      <c r="X550" s="1">
        <v>1.0622171211785376</v>
      </c>
      <c r="Y550" s="1">
        <v>52.728527320208435</v>
      </c>
      <c r="Z550" s="1">
        <v>0.49877213043502411</v>
      </c>
      <c r="AA550" s="1">
        <v>86.777467069243173</v>
      </c>
      <c r="AB550" s="1">
        <v>1.1330925980125446</v>
      </c>
      <c r="AC550" s="1">
        <v>56.795423553507419</v>
      </c>
    </row>
    <row r="551" spans="1:29" x14ac:dyDescent="0.2">
      <c r="A551" s="1" t="s">
        <v>1795</v>
      </c>
      <c r="B551" s="1" t="str">
        <f t="shared" ca="1" si="8"/>
        <v>Open</v>
      </c>
      <c r="C551" s="1" t="s">
        <v>2770</v>
      </c>
      <c r="D551" s="1" t="s">
        <v>1796</v>
      </c>
      <c r="E551" s="1" t="s">
        <v>1797</v>
      </c>
      <c r="F551" s="1" t="s">
        <v>64</v>
      </c>
      <c r="G551" s="1" t="s">
        <v>1798</v>
      </c>
      <c r="H551" s="24">
        <v>45930</v>
      </c>
      <c r="I551" s="1"/>
      <c r="J551" s="1">
        <v>47.898372500000001</v>
      </c>
      <c r="K551" s="1">
        <v>106.892127</v>
      </c>
      <c r="L551" s="20">
        <v>0</v>
      </c>
      <c r="M551" s="20">
        <v>0.99930555555555556</v>
      </c>
      <c r="N551" s="1">
        <v>0.38311642855589739</v>
      </c>
      <c r="O551" s="1">
        <v>52.655767179487178</v>
      </c>
      <c r="P551" s="1">
        <v>1.5952552061867384</v>
      </c>
      <c r="Q551" s="1">
        <v>48.15729892473118</v>
      </c>
      <c r="R551" s="1">
        <v>0.71006103516364083</v>
      </c>
      <c r="S551" s="1">
        <v>100.42780086880907</v>
      </c>
      <c r="T551" s="1">
        <v>0.83093709754046996</v>
      </c>
      <c r="U551" s="1">
        <v>45.53124923522978</v>
      </c>
      <c r="V551" s="1">
        <v>0.92053739661526512</v>
      </c>
      <c r="W551" s="1">
        <v>133.18199833686319</v>
      </c>
      <c r="X551" s="1">
        <v>1.0622171211785376</v>
      </c>
      <c r="Y551" s="1">
        <v>52.728527320208435</v>
      </c>
      <c r="Z551" s="1">
        <v>0.31512221119282052</v>
      </c>
      <c r="AA551" s="1">
        <v>67.688884615384623</v>
      </c>
      <c r="AB551" s="1">
        <v>0.44805060552419351</v>
      </c>
      <c r="AC551" s="1">
        <v>26.422132872503841</v>
      </c>
    </row>
    <row r="552" spans="1:29" x14ac:dyDescent="0.2">
      <c r="A552" s="1" t="s">
        <v>2539</v>
      </c>
      <c r="B552" s="1" t="str">
        <f t="shared" ca="1" si="8"/>
        <v>Open</v>
      </c>
      <c r="C552" s="1" t="s">
        <v>2771</v>
      </c>
      <c r="D552" s="1" t="s">
        <v>2540</v>
      </c>
      <c r="E552" s="1" t="s">
        <v>2541</v>
      </c>
      <c r="F552" s="1" t="s">
        <v>2541</v>
      </c>
      <c r="G552" s="1" t="s">
        <v>2542</v>
      </c>
      <c r="H552" s="24">
        <v>45930</v>
      </c>
      <c r="I552" s="1"/>
      <c r="J552" s="1">
        <v>46.897546499999997</v>
      </c>
      <c r="K552" s="1">
        <v>102.76484000000001</v>
      </c>
      <c r="L552" s="20">
        <v>0</v>
      </c>
      <c r="M552" s="20">
        <v>0.99930555555555556</v>
      </c>
      <c r="N552" s="1">
        <v>0.61151754492731458</v>
      </c>
      <c r="O552" s="1">
        <v>79.96965378433211</v>
      </c>
      <c r="P552" s="1">
        <v>0.76056019822544807</v>
      </c>
      <c r="Q552" s="1">
        <v>59.890293906810051</v>
      </c>
      <c r="R552" s="1">
        <v>0.67911691415936726</v>
      </c>
      <c r="S552" s="1">
        <v>89.99215272066094</v>
      </c>
      <c r="T552" s="1">
        <v>1.0248846776587495</v>
      </c>
      <c r="U552" s="1">
        <v>44.456335256735152</v>
      </c>
      <c r="V552" s="1">
        <v>0.92053739661526512</v>
      </c>
      <c r="W552" s="1">
        <v>133.18199833686319</v>
      </c>
      <c r="X552" s="1">
        <v>1.0622171211785376</v>
      </c>
      <c r="Y552" s="1">
        <v>52.728527320208435</v>
      </c>
      <c r="Z552" s="1">
        <v>0.43192189344771242</v>
      </c>
      <c r="AA552" s="1">
        <v>68.102883578431374</v>
      </c>
      <c r="AB552" s="1">
        <v>0.6117763912710702</v>
      </c>
      <c r="AC552" s="1">
        <v>29.229539144905278</v>
      </c>
    </row>
    <row r="553" spans="1:29" x14ac:dyDescent="0.2">
      <c r="A553" s="1" t="s">
        <v>1799</v>
      </c>
      <c r="B553" s="1" t="str">
        <f t="shared" ca="1" si="8"/>
        <v>Open</v>
      </c>
      <c r="C553" s="1" t="s">
        <v>2770</v>
      </c>
      <c r="D553" s="1" t="s">
        <v>1800</v>
      </c>
      <c r="E553" s="1" t="s">
        <v>1801</v>
      </c>
      <c r="F553" s="1" t="s">
        <v>48</v>
      </c>
      <c r="G553" s="1" t="s">
        <v>1802</v>
      </c>
      <c r="H553" s="24">
        <v>45929</v>
      </c>
      <c r="I553" s="1"/>
      <c r="J553" s="1">
        <v>47.918407999999999</v>
      </c>
      <c r="K553" s="1">
        <v>106.93702</v>
      </c>
      <c r="L553" s="20">
        <v>0</v>
      </c>
      <c r="M553" s="20">
        <v>0.99930555555555556</v>
      </c>
      <c r="N553" s="1">
        <v>0.41851115138666678</v>
      </c>
      <c r="O553" s="1">
        <v>63.607053333333333</v>
      </c>
      <c r="P553" s="1">
        <v>0.70926686712007159</v>
      </c>
      <c r="Q553" s="1">
        <v>50.565130107526876</v>
      </c>
      <c r="R553" s="1">
        <v>0.70938499689441004</v>
      </c>
      <c r="S553" s="1">
        <v>100.78944189445012</v>
      </c>
      <c r="T553" s="1">
        <v>0.90441987380928712</v>
      </c>
      <c r="U553" s="1">
        <v>46.823367514799664</v>
      </c>
      <c r="V553" s="1">
        <v>0.92053739661526512</v>
      </c>
      <c r="W553" s="1">
        <v>133.18199833686319</v>
      </c>
      <c r="X553" s="1">
        <v>1.0622171211785376</v>
      </c>
      <c r="Y553" s="1">
        <v>52.728527320208435</v>
      </c>
      <c r="Z553" s="1">
        <v>0.43863075797079776</v>
      </c>
      <c r="AA553" s="1">
        <v>87.438666666666677</v>
      </c>
      <c r="AB553" s="1">
        <v>0.67852743544431637</v>
      </c>
      <c r="AC553" s="1">
        <v>37.878243471582174</v>
      </c>
    </row>
    <row r="554" spans="1:29" x14ac:dyDescent="0.2">
      <c r="A554" s="1" t="s">
        <v>1803</v>
      </c>
      <c r="B554" s="1" t="str">
        <f t="shared" ca="1" si="8"/>
        <v>Open</v>
      </c>
      <c r="C554" s="1" t="s">
        <v>2770</v>
      </c>
      <c r="D554" s="1" t="s">
        <v>1804</v>
      </c>
      <c r="E554" s="1" t="s">
        <v>1805</v>
      </c>
      <c r="F554" s="1" t="s">
        <v>48</v>
      </c>
      <c r="G554" s="1" t="s">
        <v>2700</v>
      </c>
      <c r="H554" s="24">
        <v>45945</v>
      </c>
      <c r="I554" s="1"/>
      <c r="J554" s="1">
        <v>47.951249900000001</v>
      </c>
      <c r="K554" s="1">
        <v>106.945629</v>
      </c>
      <c r="L554" s="20">
        <v>0</v>
      </c>
      <c r="M554" s="20">
        <v>0.99930555555555556</v>
      </c>
      <c r="N554" s="1">
        <v>0.49715768582612402</v>
      </c>
      <c r="O554" s="1">
        <v>72.230715292268613</v>
      </c>
      <c r="P554" s="1">
        <v>0.69518839486164641</v>
      </c>
      <c r="Q554" s="1">
        <v>36.738793351773019</v>
      </c>
      <c r="R554" s="1">
        <v>0.76785585016364077</v>
      </c>
      <c r="S554" s="1">
        <v>112.82794189445009</v>
      </c>
      <c r="T554" s="1">
        <v>0.88648221874365873</v>
      </c>
      <c r="U554" s="1">
        <v>48.723936665708095</v>
      </c>
      <c r="V554" s="1">
        <v>0.92053739661526512</v>
      </c>
      <c r="W554" s="1">
        <v>133.18199833686319</v>
      </c>
      <c r="X554" s="1">
        <v>1.0622171211785376</v>
      </c>
      <c r="Y554" s="1">
        <v>52.728527320208435</v>
      </c>
      <c r="Z554" s="1">
        <v>0.54069839168350176</v>
      </c>
      <c r="AA554" s="1">
        <v>106.68365656565653</v>
      </c>
      <c r="AB554" s="1">
        <v>0.53095120532629281</v>
      </c>
      <c r="AC554" s="1">
        <v>31.076156016385053</v>
      </c>
    </row>
    <row r="555" spans="1:29" x14ac:dyDescent="0.2">
      <c r="A555" s="1" t="s">
        <v>2543</v>
      </c>
      <c r="B555" s="1" t="str">
        <f t="shared" ca="1" si="8"/>
        <v>Open</v>
      </c>
      <c r="C555" s="1" t="s">
        <v>2771</v>
      </c>
      <c r="D555" s="1" t="s">
        <v>2544</v>
      </c>
      <c r="E555" s="1" t="s">
        <v>2545</v>
      </c>
      <c r="F555" s="1" t="s">
        <v>2546</v>
      </c>
      <c r="G555" s="1" t="s">
        <v>2547</v>
      </c>
      <c r="H555" s="24">
        <v>45953</v>
      </c>
      <c r="I555" s="1"/>
      <c r="J555" s="1">
        <v>47.919083999999998</v>
      </c>
      <c r="K555" s="1">
        <v>112.95363</v>
      </c>
      <c r="L555" s="20">
        <v>0.29166666666666669</v>
      </c>
      <c r="M555" s="20">
        <v>0.99930555555555556</v>
      </c>
      <c r="N555" s="1">
        <v>0.66681863761274018</v>
      </c>
      <c r="O555" s="1">
        <v>91.424337767016084</v>
      </c>
      <c r="P555" s="1">
        <v>0.83368517075388793</v>
      </c>
      <c r="Q555" s="1">
        <v>42.789160545259612</v>
      </c>
      <c r="R555" s="1">
        <v>0.71346972700280142</v>
      </c>
      <c r="S555" s="1">
        <v>93.545816020324239</v>
      </c>
      <c r="T555" s="1">
        <v>0.8892265285386779</v>
      </c>
      <c r="U555" s="1">
        <v>39.605503715516512</v>
      </c>
      <c r="V555" s="1">
        <v>0.92053739661526512</v>
      </c>
      <c r="W555" s="1">
        <v>133.18199833686319</v>
      </c>
      <c r="X555" s="1">
        <v>1.0622171211785376</v>
      </c>
      <c r="Y555" s="1">
        <v>52.728527320208435</v>
      </c>
      <c r="Z555" s="1">
        <v>0.4881733641159367</v>
      </c>
      <c r="AA555" s="1">
        <v>64.353087473929577</v>
      </c>
      <c r="AB555" s="1">
        <v>0.63609680871121344</v>
      </c>
      <c r="AC555" s="1">
        <v>22.83680721966206</v>
      </c>
    </row>
    <row r="556" spans="1:29" x14ac:dyDescent="0.2">
      <c r="A556" s="1" t="s">
        <v>1806</v>
      </c>
      <c r="B556" s="1" t="str">
        <f t="shared" ca="1" si="8"/>
        <v>Open</v>
      </c>
      <c r="C556" s="1" t="s">
        <v>2770</v>
      </c>
      <c r="D556" s="1" t="s">
        <v>1807</v>
      </c>
      <c r="E556" s="1" t="s">
        <v>1808</v>
      </c>
      <c r="F556" s="1" t="s">
        <v>64</v>
      </c>
      <c r="G556" s="1" t="s">
        <v>1809</v>
      </c>
      <c r="H556" s="24">
        <v>45959</v>
      </c>
      <c r="I556" s="1"/>
      <c r="J556" s="1">
        <v>47.869309000000001</v>
      </c>
      <c r="K556" s="1">
        <v>106.82295499999999</v>
      </c>
      <c r="L556" s="20">
        <v>0</v>
      </c>
      <c r="M556" s="20">
        <v>0.99930555555555556</v>
      </c>
      <c r="N556" s="1">
        <v>0.38663037468667966</v>
      </c>
      <c r="O556" s="1">
        <v>59.129288070046393</v>
      </c>
      <c r="P556" s="1">
        <v>0.67423493204603346</v>
      </c>
      <c r="Q556" s="1">
        <v>40.166870219589107</v>
      </c>
      <c r="R556" s="1">
        <v>0.69549130907389711</v>
      </c>
      <c r="S556" s="1">
        <v>95.428249586757786</v>
      </c>
      <c r="T556" s="1">
        <v>0.84077591203509361</v>
      </c>
      <c r="U556" s="1">
        <v>45.571754611573859</v>
      </c>
      <c r="V556" s="1">
        <v>0.92053739661526512</v>
      </c>
      <c r="W556" s="1">
        <v>133.18199833686319</v>
      </c>
      <c r="X556" s="1">
        <v>1.0622171211785376</v>
      </c>
      <c r="Y556" s="1">
        <v>52.728527320208435</v>
      </c>
      <c r="Z556" s="1">
        <v>0.31661149524569526</v>
      </c>
      <c r="AA556" s="1">
        <v>54.762177956465244</v>
      </c>
      <c r="AB556" s="1">
        <v>0.28110550246537636</v>
      </c>
      <c r="AC556" s="1">
        <v>22.872689892473119</v>
      </c>
    </row>
    <row r="557" spans="1:29" x14ac:dyDescent="0.2">
      <c r="A557" s="1" t="s">
        <v>1810</v>
      </c>
      <c r="B557" s="1" t="str">
        <f t="shared" ca="1" si="8"/>
        <v>Open</v>
      </c>
      <c r="C557" s="1" t="s">
        <v>2770</v>
      </c>
      <c r="D557" s="1" t="s">
        <v>1811</v>
      </c>
      <c r="E557" s="1" t="s">
        <v>1812</v>
      </c>
      <c r="F557" s="1" t="s">
        <v>48</v>
      </c>
      <c r="G557" s="1" t="s">
        <v>2701</v>
      </c>
      <c r="H557" s="24">
        <v>45948</v>
      </c>
      <c r="I557" s="1"/>
      <c r="J557" s="1">
        <v>47.917520000000003</v>
      </c>
      <c r="K557" s="1">
        <v>107.033511</v>
      </c>
      <c r="L557" s="20">
        <v>0</v>
      </c>
      <c r="M557" s="20">
        <v>0.99930555555555556</v>
      </c>
      <c r="N557" s="1">
        <v>0.36166523296561687</v>
      </c>
      <c r="O557" s="1">
        <v>57.446725557969103</v>
      </c>
      <c r="P557" s="1">
        <v>0.74972273007397316</v>
      </c>
      <c r="Q557" s="1">
        <v>37.013891528165594</v>
      </c>
      <c r="R557" s="1">
        <v>0.69854265514349423</v>
      </c>
      <c r="S557" s="1">
        <v>98.69668182119004</v>
      </c>
      <c r="T557" s="1">
        <v>0.80606455048312231</v>
      </c>
      <c r="U557" s="1">
        <v>42.107170382183185</v>
      </c>
      <c r="V557" s="1">
        <v>0.92053739661526512</v>
      </c>
      <c r="W557" s="1">
        <v>133.18199833686319</v>
      </c>
      <c r="X557" s="1">
        <v>1.0622171211785376</v>
      </c>
      <c r="Y557" s="1">
        <v>52.728527320208435</v>
      </c>
      <c r="Z557" s="1">
        <v>0.29585787214594356</v>
      </c>
      <c r="AA557" s="1">
        <v>51.73540061728395</v>
      </c>
      <c r="AB557" s="1">
        <v>0.25518233938829149</v>
      </c>
      <c r="AC557" s="1">
        <v>17.570123855037838</v>
      </c>
    </row>
    <row r="558" spans="1:29" x14ac:dyDescent="0.2">
      <c r="A558" s="1" t="s">
        <v>1813</v>
      </c>
      <c r="B558" s="1" t="str">
        <f t="shared" ca="1" si="8"/>
        <v>Open</v>
      </c>
      <c r="C558" s="1" t="s">
        <v>2770</v>
      </c>
      <c r="D558" s="1" t="s">
        <v>1814</v>
      </c>
      <c r="E558" s="1" t="s">
        <v>1815</v>
      </c>
      <c r="F558" s="1" t="s">
        <v>33</v>
      </c>
      <c r="G558" s="1" t="s">
        <v>1816</v>
      </c>
      <c r="H558" s="24">
        <v>45952</v>
      </c>
      <c r="I558" s="1"/>
      <c r="J558" s="1">
        <v>47.930027000000003</v>
      </c>
      <c r="K558" s="1">
        <v>106.904478</v>
      </c>
      <c r="L558" s="20">
        <v>0</v>
      </c>
      <c r="M558" s="20">
        <v>0.99930555555555556</v>
      </c>
      <c r="N558" s="1">
        <v>0.53015460607186482</v>
      </c>
      <c r="O558" s="1">
        <v>83.065033255231583</v>
      </c>
      <c r="P558" s="1">
        <v>0.93556681010388798</v>
      </c>
      <c r="Q558" s="1">
        <v>40.586463323037385</v>
      </c>
      <c r="R558" s="1">
        <v>0.76251373212517926</v>
      </c>
      <c r="S558" s="1">
        <v>104.85764702265523</v>
      </c>
      <c r="T558" s="1">
        <v>0.87734553852971731</v>
      </c>
      <c r="U558" s="1">
        <v>43.199206224477088</v>
      </c>
      <c r="V558" s="1">
        <v>0.92053739661526512</v>
      </c>
      <c r="W558" s="1">
        <v>133.18199833686319</v>
      </c>
      <c r="X558" s="1">
        <v>1.0622171211785376</v>
      </c>
      <c r="Y558" s="1">
        <v>52.728527320208435</v>
      </c>
      <c r="Z558" s="1">
        <v>0.4425573885962561</v>
      </c>
      <c r="AA558" s="1">
        <v>80.448843212560391</v>
      </c>
      <c r="AB558" s="1">
        <v>0.60287315183256529</v>
      </c>
      <c r="AC558" s="1">
        <v>25.675818740399382</v>
      </c>
    </row>
    <row r="559" spans="1:29" x14ac:dyDescent="0.2">
      <c r="A559" s="1" t="s">
        <v>1817</v>
      </c>
      <c r="B559" s="1" t="str">
        <f t="shared" ca="1" si="8"/>
        <v>Open</v>
      </c>
      <c r="C559" s="1" t="s">
        <v>2770</v>
      </c>
      <c r="D559" s="1" t="s">
        <v>1818</v>
      </c>
      <c r="E559" s="1" t="s">
        <v>1819</v>
      </c>
      <c r="F559" s="1" t="s">
        <v>64</v>
      </c>
      <c r="G559" s="1" t="s">
        <v>1820</v>
      </c>
      <c r="H559" s="24">
        <v>45982</v>
      </c>
      <c r="I559" s="1"/>
      <c r="J559" s="1">
        <v>47.850704999999998</v>
      </c>
      <c r="K559" s="1">
        <v>106.8314</v>
      </c>
      <c r="L559" s="20">
        <v>0</v>
      </c>
      <c r="M559" s="20">
        <v>0.99930555555555556</v>
      </c>
      <c r="N559" s="1">
        <v>0.68859645354745336</v>
      </c>
      <c r="O559" s="1">
        <v>102.55452141295734</v>
      </c>
      <c r="P559" s="1">
        <v>0.91316395578732379</v>
      </c>
      <c r="Q559" s="1">
        <v>46.070230695173763</v>
      </c>
      <c r="R559" s="1">
        <v>0.83189582209953805</v>
      </c>
      <c r="S559" s="1">
        <v>132.77653163803987</v>
      </c>
      <c r="T559" s="1">
        <v>1.0113804641426205</v>
      </c>
      <c r="U559" s="1">
        <v>47.436087944907207</v>
      </c>
      <c r="V559" s="1">
        <v>0.92053739661526512</v>
      </c>
      <c r="W559" s="1">
        <v>133.18199833686319</v>
      </c>
      <c r="X559" s="1">
        <v>1.0622171211785376</v>
      </c>
      <c r="Y559" s="1">
        <v>52.728527320208435</v>
      </c>
      <c r="Z559" s="1">
        <v>0.5098783326881372</v>
      </c>
      <c r="AA559" s="1">
        <v>102.71535802469134</v>
      </c>
      <c r="AB559" s="1">
        <v>0.80178000913632863</v>
      </c>
      <c r="AC559" s="1">
        <v>30.365577572964664</v>
      </c>
    </row>
    <row r="560" spans="1:29" x14ac:dyDescent="0.2">
      <c r="A560" s="1" t="s">
        <v>1821</v>
      </c>
      <c r="B560" s="1" t="str">
        <f t="shared" ca="1" si="8"/>
        <v>Open</v>
      </c>
      <c r="C560" s="1" t="s">
        <v>2770</v>
      </c>
      <c r="D560" s="1" t="s">
        <v>1822</v>
      </c>
      <c r="E560" s="1" t="s">
        <v>1823</v>
      </c>
      <c r="F560" s="1" t="s">
        <v>64</v>
      </c>
      <c r="G560" s="1" t="s">
        <v>1824</v>
      </c>
      <c r="H560" s="24">
        <v>45952</v>
      </c>
      <c r="I560" s="1"/>
      <c r="J560" s="1">
        <v>47.8618466</v>
      </c>
      <c r="K560" s="1">
        <v>106.80154</v>
      </c>
      <c r="L560" s="20">
        <v>0</v>
      </c>
      <c r="M560" s="20">
        <v>0.99930555555555556</v>
      </c>
      <c r="N560" s="1">
        <v>0.41357479170191774</v>
      </c>
      <c r="O560" s="1">
        <v>60.309841085919402</v>
      </c>
      <c r="P560" s="1">
        <v>0.71022702679814065</v>
      </c>
      <c r="Q560" s="1">
        <v>32.440124242577618</v>
      </c>
      <c r="R560" s="1">
        <v>0.69031175866492278</v>
      </c>
      <c r="S560" s="1">
        <v>97.140850868809096</v>
      </c>
      <c r="T560" s="1">
        <v>0.78656579836842699</v>
      </c>
      <c r="U560" s="1">
        <v>37.698915901896449</v>
      </c>
      <c r="V560" s="1">
        <v>0.92053739661526512</v>
      </c>
      <c r="W560" s="1">
        <v>133.18199833686319</v>
      </c>
      <c r="X560" s="1">
        <v>1.0622171211785376</v>
      </c>
      <c r="Y560" s="1">
        <v>52.728527320208435</v>
      </c>
      <c r="Z560" s="1">
        <v>0.30269051845789474</v>
      </c>
      <c r="AA560" s="1">
        <v>52.194492007797272</v>
      </c>
      <c r="AB560" s="1">
        <v>0.17243407624823351</v>
      </c>
      <c r="AC560" s="1">
        <v>11.598739708141323</v>
      </c>
    </row>
    <row r="561" spans="1:29" x14ac:dyDescent="0.2">
      <c r="A561" s="1" t="s">
        <v>2548</v>
      </c>
      <c r="B561" s="1" t="str">
        <f t="shared" ca="1" si="8"/>
        <v>Open</v>
      </c>
      <c r="C561" s="1" t="s">
        <v>2771</v>
      </c>
      <c r="D561" s="1" t="s">
        <v>2549</v>
      </c>
      <c r="E561" s="1" t="s">
        <v>2550</v>
      </c>
      <c r="F561" s="1" t="s">
        <v>2223</v>
      </c>
      <c r="G561" s="1" t="s">
        <v>2702</v>
      </c>
      <c r="H561" s="24">
        <v>45954</v>
      </c>
      <c r="I561" s="1"/>
      <c r="J561" s="1">
        <v>47.190575000000003</v>
      </c>
      <c r="K561" s="1">
        <v>102.830451</v>
      </c>
      <c r="L561" s="20">
        <v>0</v>
      </c>
      <c r="M561" s="20">
        <v>0.99930555555555556</v>
      </c>
      <c r="N561" s="1">
        <v>0.49879538968723519</v>
      </c>
      <c r="O561" s="1">
        <v>77.727118070046401</v>
      </c>
      <c r="P561" s="1">
        <v>0.77760157469277669</v>
      </c>
      <c r="Q561" s="1">
        <v>33.198666100815167</v>
      </c>
      <c r="R561" s="1">
        <v>0.63616089253948416</v>
      </c>
      <c r="S561" s="1">
        <v>80.77275700915996</v>
      </c>
      <c r="T561" s="1">
        <v>0.80338074869100762</v>
      </c>
      <c r="U561" s="1">
        <v>38.778475041681389</v>
      </c>
      <c r="V561" s="1">
        <v>0.92053739661526512</v>
      </c>
      <c r="W561" s="1">
        <v>133.18199833686319</v>
      </c>
      <c r="X561" s="1">
        <v>1.0622171211785376</v>
      </c>
      <c r="Y561" s="1">
        <v>52.728527320208435</v>
      </c>
      <c r="Z561" s="1">
        <v>0.36612291212719295</v>
      </c>
      <c r="AA561" s="1">
        <v>63.836466008771943</v>
      </c>
      <c r="AB561" s="1">
        <v>0.39367242875153613</v>
      </c>
      <c r="AC561" s="1">
        <v>19.985364055299534</v>
      </c>
    </row>
    <row r="562" spans="1:29" x14ac:dyDescent="0.2">
      <c r="A562" s="1" t="s">
        <v>2551</v>
      </c>
      <c r="B562" s="1" t="str">
        <f t="shared" ca="1" si="8"/>
        <v>Open</v>
      </c>
      <c r="C562" s="1" t="s">
        <v>2771</v>
      </c>
      <c r="D562" s="1" t="s">
        <v>2552</v>
      </c>
      <c r="E562" s="1" t="s">
        <v>2553</v>
      </c>
      <c r="F562" s="1" t="s">
        <v>2553</v>
      </c>
      <c r="G562" s="1" t="s">
        <v>2554</v>
      </c>
      <c r="H562" s="24">
        <v>45960</v>
      </c>
      <c r="I562" s="1"/>
      <c r="J562" s="1">
        <v>47.717305000000003</v>
      </c>
      <c r="K562" s="1">
        <v>107.79404700000001</v>
      </c>
      <c r="L562" s="20">
        <v>0</v>
      </c>
      <c r="M562" s="20">
        <v>0.99930555555555556</v>
      </c>
      <c r="N562" s="1">
        <v>0.60165230820667959</v>
      </c>
      <c r="O562" s="1">
        <v>98.605328070046383</v>
      </c>
      <c r="P562" s="1">
        <v>0.58234289965944341</v>
      </c>
      <c r="Q562" s="1">
        <v>34.841029989704055</v>
      </c>
      <c r="R562" s="1">
        <v>0.71080161084535753</v>
      </c>
      <c r="S562" s="1">
        <v>97.691764636925029</v>
      </c>
      <c r="T562" s="1">
        <v>0.83662449157124497</v>
      </c>
      <c r="U562" s="1">
        <v>41.752189539271306</v>
      </c>
      <c r="V562" s="1">
        <v>0.92053739661526512</v>
      </c>
      <c r="W562" s="1">
        <v>133.18199833686319</v>
      </c>
      <c r="X562" s="1">
        <v>1.0622171211785376</v>
      </c>
      <c r="Y562" s="1">
        <v>52.728527320208435</v>
      </c>
      <c r="Z562" s="1">
        <v>0.80328611812472939</v>
      </c>
      <c r="AA562" s="1">
        <v>134.99473452991455</v>
      </c>
      <c r="AB562" s="1">
        <v>0.33936085420062079</v>
      </c>
      <c r="AC562" s="1">
        <v>23.511362982188714</v>
      </c>
    </row>
    <row r="563" spans="1:29" x14ac:dyDescent="0.2">
      <c r="A563" s="1" t="s">
        <v>1825</v>
      </c>
      <c r="B563" s="1" t="str">
        <f t="shared" ca="1" si="8"/>
        <v>Open</v>
      </c>
      <c r="C563" s="1" t="s">
        <v>2770</v>
      </c>
      <c r="D563" s="1" t="s">
        <v>1826</v>
      </c>
      <c r="E563" s="1" t="s">
        <v>1827</v>
      </c>
      <c r="F563" s="1" t="s">
        <v>48</v>
      </c>
      <c r="G563" s="1" t="s">
        <v>1828</v>
      </c>
      <c r="H563" s="24">
        <v>45959</v>
      </c>
      <c r="I563" s="1"/>
      <c r="J563" s="1">
        <v>47.920381599999999</v>
      </c>
      <c r="K563" s="1">
        <v>106.935159</v>
      </c>
      <c r="L563" s="20">
        <v>0</v>
      </c>
      <c r="M563" s="20">
        <v>0.99930555555555556</v>
      </c>
      <c r="N563" s="1">
        <v>0.55979567323395241</v>
      </c>
      <c r="O563" s="1">
        <v>81.903762009440342</v>
      </c>
      <c r="P563" s="1">
        <v>0.89156703092725953</v>
      </c>
      <c r="Q563" s="1">
        <v>48.474222710010572</v>
      </c>
      <c r="R563" s="1">
        <v>0.81442289322774342</v>
      </c>
      <c r="S563" s="1">
        <v>120.77789061239882</v>
      </c>
      <c r="T563" s="1">
        <v>0.91715937071251297</v>
      </c>
      <c r="U563" s="1">
        <v>47.278679342756668</v>
      </c>
      <c r="V563" s="1">
        <v>0.92053739661526512</v>
      </c>
      <c r="W563" s="1">
        <v>133.18199833686319</v>
      </c>
      <c r="X563" s="1">
        <v>1.0622171211785376</v>
      </c>
      <c r="Y563" s="1">
        <v>52.728527320208435</v>
      </c>
      <c r="Z563" s="1">
        <v>0.6979520418607873</v>
      </c>
      <c r="AA563" s="1">
        <v>137.21498445998446</v>
      </c>
      <c r="AB563" s="1">
        <v>0.8339258246589859</v>
      </c>
      <c r="AC563" s="1">
        <v>43.18372350230414</v>
      </c>
    </row>
    <row r="564" spans="1:29" x14ac:dyDescent="0.2">
      <c r="A564" s="1" t="s">
        <v>1829</v>
      </c>
      <c r="B564" s="1" t="str">
        <f t="shared" ca="1" si="8"/>
        <v>Open</v>
      </c>
      <c r="C564" s="1" t="s">
        <v>2770</v>
      </c>
      <c r="D564" s="1" t="s">
        <v>1830</v>
      </c>
      <c r="E564" s="1" t="s">
        <v>1831</v>
      </c>
      <c r="F564" s="1" t="s">
        <v>28</v>
      </c>
      <c r="G564" s="1" t="s">
        <v>1832</v>
      </c>
      <c r="H564" s="24">
        <v>45960</v>
      </c>
      <c r="I564" s="1"/>
      <c r="J564" s="1">
        <v>47.913541000000002</v>
      </c>
      <c r="K564" s="1">
        <v>106.85859000000001</v>
      </c>
      <c r="L564" s="20">
        <v>0</v>
      </c>
      <c r="M564" s="20">
        <v>0.99930555555555556</v>
      </c>
      <c r="N564" s="1">
        <v>0.51771182821334627</v>
      </c>
      <c r="O564" s="1">
        <v>80.197521403379724</v>
      </c>
      <c r="P564" s="1">
        <v>0.89147718902610995</v>
      </c>
      <c r="Q564" s="1">
        <v>52.528907767481826</v>
      </c>
      <c r="R564" s="1">
        <v>0.6878036535995381</v>
      </c>
      <c r="S564" s="1">
        <v>92.88495471496293</v>
      </c>
      <c r="T564" s="1">
        <v>0.8361294453146636</v>
      </c>
      <c r="U564" s="1">
        <v>45.951679342756655</v>
      </c>
      <c r="V564" s="1">
        <v>0.92053739661526512</v>
      </c>
      <c r="W564" s="1">
        <v>133.18199833686319</v>
      </c>
      <c r="X564" s="1">
        <v>1.0622171211785376</v>
      </c>
      <c r="Y564" s="1">
        <v>52.728527320208435</v>
      </c>
      <c r="Z564" s="1">
        <v>0.25690079446604935</v>
      </c>
      <c r="AA564" s="1">
        <v>56.111867003367003</v>
      </c>
      <c r="AB564" s="1">
        <v>0.43255655985291847</v>
      </c>
      <c r="AC564" s="1">
        <v>25.328318356374805</v>
      </c>
    </row>
    <row r="565" spans="1:29" x14ac:dyDescent="0.2">
      <c r="A565" s="1" t="s">
        <v>1833</v>
      </c>
      <c r="B565" s="1" t="str">
        <f t="shared" ca="1" si="8"/>
        <v>Open</v>
      </c>
      <c r="C565" s="1" t="s">
        <v>2770</v>
      </c>
      <c r="D565" s="1" t="s">
        <v>1834</v>
      </c>
      <c r="E565" s="1" t="s">
        <v>1835</v>
      </c>
      <c r="F565" s="1" t="s">
        <v>48</v>
      </c>
      <c r="G565" s="1" t="s">
        <v>1836</v>
      </c>
      <c r="H565" s="24">
        <v>45986</v>
      </c>
      <c r="I565" s="1"/>
      <c r="J565" s="1">
        <v>47.911648999999997</v>
      </c>
      <c r="K565" s="1">
        <v>106.943794</v>
      </c>
      <c r="L565" s="20">
        <v>0.29166666666666669</v>
      </c>
      <c r="M565" s="20">
        <v>0.99930555555555556</v>
      </c>
      <c r="N565" s="1">
        <v>0.58641795395697716</v>
      </c>
      <c r="O565" s="1">
        <v>92.956702365338288</v>
      </c>
      <c r="P565" s="1">
        <v>0.89712096815399045</v>
      </c>
      <c r="Q565" s="1">
        <v>45.214708472951543</v>
      </c>
      <c r="R565" s="1">
        <v>0.68188884840825603</v>
      </c>
      <c r="S565" s="1">
        <v>89.760967535475743</v>
      </c>
      <c r="T565" s="1">
        <v>0.84863612880928718</v>
      </c>
      <c r="U565" s="1">
        <v>49.501969665337299</v>
      </c>
      <c r="V565" s="1">
        <v>0.92053739661526512</v>
      </c>
      <c r="W565" s="1">
        <v>133.18199833686319</v>
      </c>
      <c r="X565" s="1">
        <v>1.0622171211785376</v>
      </c>
      <c r="Y565" s="1">
        <v>52.728527320208435</v>
      </c>
      <c r="Z565" s="1">
        <v>0.28365893900595235</v>
      </c>
      <c r="AA565" s="1">
        <v>41.633503968253969</v>
      </c>
      <c r="AB565" s="1">
        <v>0.30583403132660109</v>
      </c>
      <c r="AC565" s="1">
        <v>26.825369704433495</v>
      </c>
    </row>
    <row r="566" spans="1:29" x14ac:dyDescent="0.2">
      <c r="A566" s="1" t="s">
        <v>1837</v>
      </c>
      <c r="B566" s="1" t="str">
        <f t="shared" ca="1" si="8"/>
        <v>Open</v>
      </c>
      <c r="C566" s="1" t="s">
        <v>2770</v>
      </c>
      <c r="D566" s="1" t="s">
        <v>1838</v>
      </c>
      <c r="E566" s="1" t="s">
        <v>1839</v>
      </c>
      <c r="F566" s="1" t="s">
        <v>64</v>
      </c>
      <c r="G566" s="1" t="s">
        <v>1840</v>
      </c>
      <c r="H566" s="24">
        <v>45975</v>
      </c>
      <c r="I566" s="1"/>
      <c r="J566" s="1">
        <v>47.898571799999999</v>
      </c>
      <c r="K566" s="1">
        <v>106.860865</v>
      </c>
      <c r="L566" s="20">
        <v>0</v>
      </c>
      <c r="M566" s="20">
        <v>0.99930555555555556</v>
      </c>
      <c r="N566" s="1">
        <v>0.79653355902364387</v>
      </c>
      <c r="O566" s="1">
        <v>115.58130977274568</v>
      </c>
      <c r="P566" s="1">
        <v>0.95842640122261802</v>
      </c>
      <c r="Q566" s="1">
        <v>46.196136577526708</v>
      </c>
      <c r="R566" s="1">
        <v>0.79604064543287156</v>
      </c>
      <c r="S566" s="1">
        <v>123.34372394573217</v>
      </c>
      <c r="T566" s="1">
        <v>0.92032241909960977</v>
      </c>
      <c r="U566" s="1">
        <v>45.383163213724401</v>
      </c>
      <c r="V566" s="1">
        <v>0.92053739661526512</v>
      </c>
      <c r="W566" s="1">
        <v>133.18199833686319</v>
      </c>
      <c r="X566" s="1">
        <v>1.0622171211785376</v>
      </c>
      <c r="Y566" s="1">
        <v>52.728527320208435</v>
      </c>
      <c r="Z566" s="1">
        <v>0.50928636247576942</v>
      </c>
      <c r="AA566" s="1">
        <v>97.900752179487185</v>
      </c>
      <c r="AB566" s="1">
        <v>0.6841181967845622</v>
      </c>
      <c r="AC566" s="1">
        <v>32.996907450076797</v>
      </c>
    </row>
    <row r="567" spans="1:29" x14ac:dyDescent="0.2">
      <c r="A567" s="1" t="s">
        <v>2555</v>
      </c>
      <c r="B567" s="1" t="str">
        <f t="shared" ca="1" si="8"/>
        <v>Open</v>
      </c>
      <c r="C567" s="1" t="s">
        <v>2771</v>
      </c>
      <c r="D567" s="1" t="s">
        <v>2556</v>
      </c>
      <c r="E567" s="1" t="s">
        <v>2557</v>
      </c>
      <c r="F567" s="1" t="s">
        <v>2557</v>
      </c>
      <c r="G567" s="1" t="s">
        <v>2558</v>
      </c>
      <c r="H567" s="24">
        <v>46050</v>
      </c>
      <c r="I567" s="1"/>
      <c r="J567" s="1">
        <v>47.338062700000002</v>
      </c>
      <c r="K567" s="1">
        <v>104.467116</v>
      </c>
      <c r="L567" s="20">
        <v>0</v>
      </c>
      <c r="M567" s="20">
        <v>0.99930555555555556</v>
      </c>
      <c r="N567" s="1">
        <v>0.73639092957822683</v>
      </c>
      <c r="O567" s="1">
        <v>120.83034189340572</v>
      </c>
      <c r="P567" s="1">
        <v>1.0305683280225519</v>
      </c>
      <c r="Q567" s="1">
        <v>50.741335744455974</v>
      </c>
      <c r="R567" s="1">
        <v>0.60867869671492281</v>
      </c>
      <c r="S567" s="1">
        <v>76.081009202142411</v>
      </c>
      <c r="T567" s="1">
        <v>0.75842629994907218</v>
      </c>
      <c r="U567" s="1">
        <v>38.398292245982468</v>
      </c>
      <c r="V567" s="1">
        <v>0.92053739661526512</v>
      </c>
      <c r="W567" s="1">
        <v>133.18199833686319</v>
      </c>
      <c r="X567" s="1">
        <v>1.0622171211785376</v>
      </c>
      <c r="Y567" s="1">
        <v>52.728527320208435</v>
      </c>
      <c r="Z567" s="1">
        <v>0.52800903121537968</v>
      </c>
      <c r="AA567" s="1">
        <v>90.704135127964562</v>
      </c>
      <c r="AB567" s="1">
        <v>0.45779834896887506</v>
      </c>
      <c r="AC567" s="1">
        <v>33.32350786335973</v>
      </c>
    </row>
    <row r="568" spans="1:29" x14ac:dyDescent="0.2">
      <c r="A568" s="1" t="s">
        <v>2559</v>
      </c>
      <c r="B568" s="1" t="str">
        <f t="shared" ca="1" si="8"/>
        <v>Open</v>
      </c>
      <c r="C568" s="1" t="s">
        <v>2771</v>
      </c>
      <c r="D568" s="1" t="s">
        <v>2560</v>
      </c>
      <c r="E568" s="1" t="s">
        <v>2561</v>
      </c>
      <c r="F568" s="1" t="s">
        <v>2561</v>
      </c>
      <c r="G568" s="1" t="s">
        <v>2562</v>
      </c>
      <c r="H568" s="24">
        <v>45988</v>
      </c>
      <c r="I568" s="1"/>
      <c r="J568" s="1">
        <v>47.369447999999998</v>
      </c>
      <c r="K568" s="1">
        <v>103.94875399999999</v>
      </c>
      <c r="L568" s="20">
        <v>0</v>
      </c>
      <c r="M568" s="20">
        <v>0.99930555555555556</v>
      </c>
      <c r="N568" s="1">
        <v>0.6378992666903105</v>
      </c>
      <c r="O568" s="1">
        <v>91.008402365338284</v>
      </c>
      <c r="P568" s="1">
        <v>0.85710111098732389</v>
      </c>
      <c r="Q568" s="1">
        <v>45.31384736184043</v>
      </c>
      <c r="R568" s="1">
        <v>0.63743688257766784</v>
      </c>
      <c r="S568" s="1">
        <v>80.231947927632618</v>
      </c>
      <c r="T568" s="1">
        <v>0.80703681486090006</v>
      </c>
      <c r="U568" s="1">
        <v>38.207903715516515</v>
      </c>
      <c r="V568" s="1">
        <v>0.92053739661526512</v>
      </c>
      <c r="W568" s="1">
        <v>133.18199833686319</v>
      </c>
      <c r="X568" s="1">
        <v>1.0622171211785376</v>
      </c>
      <c r="Y568" s="1">
        <v>52.728527320208435</v>
      </c>
      <c r="Z568" s="1">
        <v>0.36831059166646535</v>
      </c>
      <c r="AA568" s="1">
        <v>50.109756340579708</v>
      </c>
      <c r="AB568" s="1">
        <v>0.5829263524779571</v>
      </c>
      <c r="AC568" s="1">
        <v>20.84772117255504</v>
      </c>
    </row>
    <row r="569" spans="1:29" x14ac:dyDescent="0.2">
      <c r="A569" s="1" t="s">
        <v>2563</v>
      </c>
      <c r="B569" s="1" t="str">
        <f t="shared" ca="1" si="8"/>
        <v>Open</v>
      </c>
      <c r="C569" s="1" t="s">
        <v>2771</v>
      </c>
      <c r="D569" s="1" t="s">
        <v>2564</v>
      </c>
      <c r="E569" s="1" t="s">
        <v>2565</v>
      </c>
      <c r="F569" s="1" t="s">
        <v>2565</v>
      </c>
      <c r="G569" s="1" t="s">
        <v>2566</v>
      </c>
      <c r="H569" s="24">
        <v>45991</v>
      </c>
      <c r="I569" s="1"/>
      <c r="J569" s="1">
        <v>46.358561299999998</v>
      </c>
      <c r="K569" s="1">
        <v>108.36300799999999</v>
      </c>
      <c r="L569" s="20">
        <v>0</v>
      </c>
      <c r="M569" s="20">
        <v>0.99930555555555556</v>
      </c>
      <c r="N569" s="1">
        <v>0.73639092957822683</v>
      </c>
      <c r="O569" s="1">
        <v>120.83034189340572</v>
      </c>
      <c r="P569" s="1">
        <v>0.97240860965399056</v>
      </c>
      <c r="Q569" s="1">
        <v>56.787430695173761</v>
      </c>
      <c r="R569" s="1">
        <v>0.73736991958992271</v>
      </c>
      <c r="S569" s="1">
        <v>96.81567586880908</v>
      </c>
      <c r="T569" s="1">
        <v>0.9497781417662764</v>
      </c>
      <c r="U569" s="1">
        <v>58.354389020176008</v>
      </c>
      <c r="V569" s="1">
        <v>0.92053739661526512</v>
      </c>
      <c r="W569" s="1">
        <v>133.18199833686319</v>
      </c>
      <c r="X569" s="1">
        <v>1.0622171211785376</v>
      </c>
      <c r="Y569" s="1">
        <v>52.728527320208435</v>
      </c>
      <c r="Z569" s="1">
        <v>0.43770372342060609</v>
      </c>
      <c r="AA569" s="1">
        <v>62.107604848484847</v>
      </c>
      <c r="AB569" s="1">
        <v>0.6353701217857427</v>
      </c>
      <c r="AC569" s="1">
        <v>50.559189565909982</v>
      </c>
    </row>
    <row r="570" spans="1:29" x14ac:dyDescent="0.2">
      <c r="A570" s="1" t="s">
        <v>1841</v>
      </c>
      <c r="B570" s="1" t="str">
        <f t="shared" ca="1" si="8"/>
        <v>Open</v>
      </c>
      <c r="C570" s="1" t="s">
        <v>2770</v>
      </c>
      <c r="D570" s="1" t="s">
        <v>1842</v>
      </c>
      <c r="E570" s="1" t="s">
        <v>1843</v>
      </c>
      <c r="F570" s="1" t="s">
        <v>11</v>
      </c>
      <c r="G570" s="1" t="s">
        <v>1844</v>
      </c>
      <c r="H570" s="24">
        <v>45990</v>
      </c>
      <c r="I570" s="1"/>
      <c r="J570" s="1">
        <v>47.969482999999997</v>
      </c>
      <c r="K570" s="1">
        <v>106.930419</v>
      </c>
      <c r="L570" s="20">
        <v>0</v>
      </c>
      <c r="M570" s="20">
        <v>0.99930555555555556</v>
      </c>
      <c r="N570" s="1">
        <v>0.73639092957822683</v>
      </c>
      <c r="O570" s="1">
        <v>120.83034189340572</v>
      </c>
      <c r="P570" s="1">
        <v>0.81613253632065719</v>
      </c>
      <c r="Q570" s="1">
        <v>42.117597361840431</v>
      </c>
      <c r="R570" s="1">
        <v>0.67065839242158942</v>
      </c>
      <c r="S570" s="1">
        <v>94.48306086880909</v>
      </c>
      <c r="T570" s="1">
        <v>0.86654016991681415</v>
      </c>
      <c r="U570" s="1">
        <v>43.634722353509346</v>
      </c>
      <c r="V570" s="1">
        <v>0.92053739661526512</v>
      </c>
      <c r="W570" s="1">
        <v>133.18199833686319</v>
      </c>
      <c r="X570" s="1">
        <v>1.0622171211785376</v>
      </c>
      <c r="Y570" s="1">
        <v>52.728527320208435</v>
      </c>
      <c r="Z570" s="1">
        <v>0.28134094783717944</v>
      </c>
      <c r="AA570" s="1">
        <v>38.407813986013984</v>
      </c>
      <c r="AB570" s="1">
        <v>0.34854304787759843</v>
      </c>
      <c r="AC570" s="1">
        <v>22.230115232974914</v>
      </c>
    </row>
    <row r="571" spans="1:29" x14ac:dyDescent="0.2">
      <c r="A571" s="1" t="s">
        <v>2567</v>
      </c>
      <c r="B571" s="1" t="str">
        <f t="shared" ca="1" si="8"/>
        <v>Open</v>
      </c>
      <c r="C571" s="1" t="s">
        <v>2771</v>
      </c>
      <c r="D571" s="1" t="s">
        <v>2568</v>
      </c>
      <c r="E571" s="1" t="s">
        <v>2569</v>
      </c>
      <c r="F571" s="1" t="s">
        <v>2391</v>
      </c>
      <c r="G571" s="1" t="s">
        <v>2570</v>
      </c>
      <c r="H571" s="24">
        <v>45985</v>
      </c>
      <c r="I571" s="1"/>
      <c r="J571" s="1">
        <v>49.644447999999997</v>
      </c>
      <c r="K571" s="1">
        <v>100.165272</v>
      </c>
      <c r="L571" s="20">
        <v>0</v>
      </c>
      <c r="M571" s="20">
        <v>0.99930555555555556</v>
      </c>
      <c r="N571" s="1">
        <v>0.73639092957822683</v>
      </c>
      <c r="O571" s="1">
        <v>120.83034189340572</v>
      </c>
      <c r="P571" s="1">
        <v>1.0305683280225519</v>
      </c>
      <c r="Q571" s="1">
        <v>50.741335744455974</v>
      </c>
      <c r="R571" s="1">
        <v>0.68039570542920835</v>
      </c>
      <c r="S571" s="1">
        <v>93.469991344999571</v>
      </c>
      <c r="T571" s="1">
        <v>0.78773354121788941</v>
      </c>
      <c r="U571" s="1">
        <v>38.533604073939458</v>
      </c>
      <c r="V571" s="1">
        <v>0.92053739661526512</v>
      </c>
      <c r="W571" s="1">
        <v>133.18199833686319</v>
      </c>
      <c r="X571" s="1">
        <v>1.0622171211785376</v>
      </c>
      <c r="Y571" s="1">
        <v>52.728527320208435</v>
      </c>
      <c r="Z571" s="1">
        <v>0.56426657247550371</v>
      </c>
      <c r="AA571" s="1">
        <v>91.884986263736252</v>
      </c>
      <c r="AB571" s="1">
        <v>0.37332222215943694</v>
      </c>
      <c r="AC571" s="1">
        <v>22.68701168770454</v>
      </c>
    </row>
    <row r="572" spans="1:29" x14ac:dyDescent="0.2">
      <c r="A572" s="1" t="s">
        <v>2571</v>
      </c>
      <c r="B572" s="1" t="str">
        <f t="shared" ca="1" si="8"/>
        <v>Open</v>
      </c>
      <c r="C572" s="1" t="s">
        <v>2771</v>
      </c>
      <c r="D572" s="1" t="s">
        <v>2572</v>
      </c>
      <c r="E572" s="1" t="s">
        <v>2573</v>
      </c>
      <c r="F572" s="1" t="s">
        <v>2516</v>
      </c>
      <c r="G572" s="1" t="s">
        <v>2574</v>
      </c>
      <c r="H572" s="24">
        <v>46016</v>
      </c>
      <c r="I572" s="1"/>
      <c r="J572" s="1">
        <v>46.677208</v>
      </c>
      <c r="K572" s="1">
        <v>113.279532</v>
      </c>
      <c r="L572" s="20">
        <v>0</v>
      </c>
      <c r="M572" s="20">
        <v>0.99930555555555556</v>
      </c>
      <c r="N572" s="1">
        <v>0.73639092957822683</v>
      </c>
      <c r="O572" s="1">
        <v>120.83034189340572</v>
      </c>
      <c r="P572" s="1">
        <v>1.0305683280225519</v>
      </c>
      <c r="Q572" s="1">
        <v>50.741335744455974</v>
      </c>
      <c r="R572" s="1">
        <v>0.71698408864084884</v>
      </c>
      <c r="S572" s="1">
        <v>94.811411979920194</v>
      </c>
      <c r="T572" s="1">
        <v>0.91373962006735165</v>
      </c>
      <c r="U572" s="1">
        <v>47.349335256735152</v>
      </c>
      <c r="V572" s="1">
        <v>0.92053739661526512</v>
      </c>
      <c r="W572" s="1">
        <v>133.18199833686319</v>
      </c>
      <c r="X572" s="1">
        <v>1.0622171211785376</v>
      </c>
      <c r="Y572" s="1">
        <v>52.728527320208435</v>
      </c>
      <c r="Z572" s="1">
        <v>0.91582071929532149</v>
      </c>
      <c r="AA572" s="1">
        <v>151.03895760233917</v>
      </c>
      <c r="AB572" s="1">
        <v>0.88964881931305706</v>
      </c>
      <c r="AC572" s="1">
        <v>45.141371966205838</v>
      </c>
    </row>
    <row r="573" spans="1:29" x14ac:dyDescent="0.2">
      <c r="A573" s="1" t="s">
        <v>1845</v>
      </c>
      <c r="B573" s="1" t="str">
        <f t="shared" ca="1" si="8"/>
        <v>Open</v>
      </c>
      <c r="C573" s="1" t="s">
        <v>2770</v>
      </c>
      <c r="D573" s="1" t="s">
        <v>1846</v>
      </c>
      <c r="E573" s="1" t="s">
        <v>1847</v>
      </c>
      <c r="F573" s="1" t="s">
        <v>48</v>
      </c>
      <c r="G573" s="1" t="s">
        <v>1848</v>
      </c>
      <c r="H573" s="24">
        <v>45997</v>
      </c>
      <c r="I573" s="1"/>
      <c r="J573" s="1">
        <v>47.913216599999998</v>
      </c>
      <c r="K573" s="1">
        <v>106.99992</v>
      </c>
      <c r="L573" s="20">
        <v>0</v>
      </c>
      <c r="M573" s="20">
        <v>0.99930555555555556</v>
      </c>
      <c r="N573" s="1">
        <v>0.73639092957822683</v>
      </c>
      <c r="O573" s="1">
        <v>120.83034189340572</v>
      </c>
      <c r="P573" s="1">
        <v>1.0305683280225519</v>
      </c>
      <c r="Q573" s="1">
        <v>50.741335744455974</v>
      </c>
      <c r="R573" s="1">
        <v>0.92976643304825612</v>
      </c>
      <c r="S573" s="1">
        <v>137.10343975769797</v>
      </c>
      <c r="T573" s="1">
        <v>0.95038795073401838</v>
      </c>
      <c r="U573" s="1">
        <v>54.250270740606119</v>
      </c>
      <c r="V573" s="1">
        <v>0.92053739661526512</v>
      </c>
      <c r="W573" s="1">
        <v>133.18199833686319</v>
      </c>
      <c r="X573" s="1">
        <v>1.0622171211785376</v>
      </c>
      <c r="Y573" s="1">
        <v>52.728527320208435</v>
      </c>
      <c r="Z573" s="1">
        <v>0.91092138278057921</v>
      </c>
      <c r="AA573" s="1">
        <v>158.39868239028942</v>
      </c>
      <c r="AB573" s="1">
        <v>0.7117407018301587</v>
      </c>
      <c r="AC573" s="1">
        <v>47.0402753968254</v>
      </c>
    </row>
    <row r="574" spans="1:29" x14ac:dyDescent="0.2">
      <c r="A574" s="1" t="s">
        <v>2575</v>
      </c>
      <c r="B574" s="1" t="str">
        <f t="shared" ca="1" si="8"/>
        <v>Open</v>
      </c>
      <c r="C574" s="1" t="s">
        <v>2771</v>
      </c>
      <c r="D574" s="1" t="s">
        <v>2576</v>
      </c>
      <c r="E574" s="1" t="s">
        <v>2577</v>
      </c>
      <c r="F574" s="1" t="s">
        <v>2223</v>
      </c>
      <c r="G574" s="1" t="s">
        <v>2578</v>
      </c>
      <c r="H574" s="24">
        <v>46006</v>
      </c>
      <c r="I574" s="1"/>
      <c r="J574" s="1">
        <v>47.192842499999998</v>
      </c>
      <c r="K574" s="1">
        <v>102.83975700000001</v>
      </c>
      <c r="L574" s="20">
        <v>0</v>
      </c>
      <c r="M574" s="20">
        <v>0.99930555555555556</v>
      </c>
      <c r="N574" s="1">
        <v>0.73639092957822683</v>
      </c>
      <c r="O574" s="1">
        <v>120.83034189340572</v>
      </c>
      <c r="P574" s="1">
        <v>1.0305683280225519</v>
      </c>
      <c r="Q574" s="1">
        <v>50.741335744455974</v>
      </c>
      <c r="R574" s="1">
        <v>0.5963143805219403</v>
      </c>
      <c r="S574" s="1">
        <v>76.215265781089784</v>
      </c>
      <c r="T574" s="1">
        <v>0.78981574223939477</v>
      </c>
      <c r="U574" s="1">
        <v>38.340173966412571</v>
      </c>
      <c r="V574" s="1">
        <v>0.92053739661526512</v>
      </c>
      <c r="W574" s="1">
        <v>133.18199833686319</v>
      </c>
      <c r="X574" s="1">
        <v>1.0622171211785376</v>
      </c>
      <c r="Y574" s="1">
        <v>52.728527320208435</v>
      </c>
      <c r="Z574" s="1">
        <v>0.67391813763684227</v>
      </c>
      <c r="AA574" s="1">
        <v>105.97961632341726</v>
      </c>
      <c r="AB574" s="1">
        <v>0.54194880402614853</v>
      </c>
      <c r="AC574" s="1">
        <v>31.727511834939254</v>
      </c>
    </row>
    <row r="575" spans="1:29" x14ac:dyDescent="0.2">
      <c r="A575" s="1" t="s">
        <v>1849</v>
      </c>
      <c r="B575" s="1" t="str">
        <f t="shared" ca="1" si="8"/>
        <v>Open</v>
      </c>
      <c r="C575" s="1" t="s">
        <v>2770</v>
      </c>
      <c r="D575" s="1" t="s">
        <v>1850</v>
      </c>
      <c r="E575" s="1" t="s">
        <v>1851</v>
      </c>
      <c r="F575" s="1" t="s">
        <v>145</v>
      </c>
      <c r="G575" s="1" t="s">
        <v>1852</v>
      </c>
      <c r="H575" s="24">
        <v>46015</v>
      </c>
      <c r="I575" s="1"/>
      <c r="J575" s="1">
        <v>47.912604000000002</v>
      </c>
      <c r="K575" s="1">
        <v>106.78312699999999</v>
      </c>
      <c r="L575" s="20">
        <v>0</v>
      </c>
      <c r="M575" s="20">
        <v>0.99930555555555556</v>
      </c>
      <c r="N575" s="1">
        <v>0.73639092957822683</v>
      </c>
      <c r="O575" s="1">
        <v>120.83034189340572</v>
      </c>
      <c r="P575" s="1">
        <v>1.0305683280225519</v>
      </c>
      <c r="Q575" s="1">
        <v>50.741335744455974</v>
      </c>
      <c r="R575" s="1">
        <v>0.65974107179184582</v>
      </c>
      <c r="S575" s="1">
        <v>87.355954714962934</v>
      </c>
      <c r="T575" s="1">
        <v>0.82330450917487863</v>
      </c>
      <c r="U575" s="1">
        <v>43.887980418025485</v>
      </c>
      <c r="V575" s="1">
        <v>0.92053739661526512</v>
      </c>
      <c r="W575" s="1">
        <v>133.18199833686319</v>
      </c>
      <c r="X575" s="1">
        <v>1.0622171211785376</v>
      </c>
      <c r="Y575" s="1">
        <v>52.728527320208435</v>
      </c>
      <c r="Z575" s="1">
        <v>0.21616974629853478</v>
      </c>
      <c r="AA575" s="1">
        <v>37.84366117216117</v>
      </c>
      <c r="AB575" s="1">
        <v>0.49963180979087313</v>
      </c>
      <c r="AC575" s="1">
        <v>27.519973809523819</v>
      </c>
    </row>
    <row r="576" spans="1:29" x14ac:dyDescent="0.2">
      <c r="A576" s="1" t="s">
        <v>1853</v>
      </c>
      <c r="B576" s="1" t="str">
        <f t="shared" ca="1" si="8"/>
        <v>Open</v>
      </c>
      <c r="C576" s="1" t="s">
        <v>2770</v>
      </c>
      <c r="D576" s="1" t="s">
        <v>1854</v>
      </c>
      <c r="E576" s="1" t="s">
        <v>1855</v>
      </c>
      <c r="F576" s="1" t="s">
        <v>33</v>
      </c>
      <c r="G576" s="1" t="s">
        <v>1856</v>
      </c>
      <c r="H576" s="24">
        <v>46017</v>
      </c>
      <c r="I576" s="1"/>
      <c r="J576" s="1">
        <v>47.971814600000002</v>
      </c>
      <c r="K576" s="1">
        <v>106.903711</v>
      </c>
      <c r="L576" s="20">
        <v>0</v>
      </c>
      <c r="M576" s="20">
        <v>0.99930555555555556</v>
      </c>
      <c r="N576" s="1">
        <v>0.73639092957822683</v>
      </c>
      <c r="O576" s="1">
        <v>120.83034189340572</v>
      </c>
      <c r="P576" s="1">
        <v>1.0305683280225519</v>
      </c>
      <c r="Q576" s="1">
        <v>50.741335744455974</v>
      </c>
      <c r="R576" s="1">
        <v>0.68138236643287142</v>
      </c>
      <c r="S576" s="1">
        <v>89.113762407270613</v>
      </c>
      <c r="T576" s="1">
        <v>0.86041243356197539</v>
      </c>
      <c r="U576" s="1">
        <v>48.88948579436957</v>
      </c>
      <c r="V576" s="1">
        <v>0.92053739661526512</v>
      </c>
      <c r="W576" s="1">
        <v>133.18199833686319</v>
      </c>
      <c r="X576" s="1">
        <v>1.0622171211785376</v>
      </c>
      <c r="Y576" s="1">
        <v>52.728527320208435</v>
      </c>
      <c r="Z576" s="1">
        <v>0.23380822843853991</v>
      </c>
      <c r="AA576" s="1">
        <v>37.245680622651633</v>
      </c>
      <c r="AB576" s="1">
        <v>0.61879972689464935</v>
      </c>
      <c r="AC576" s="1">
        <v>41.508422811059916</v>
      </c>
    </row>
    <row r="577" spans="1:29" x14ac:dyDescent="0.2">
      <c r="A577" s="1" t="s">
        <v>1857</v>
      </c>
      <c r="B577" s="1" t="str">
        <f t="shared" ca="1" si="8"/>
        <v>Open</v>
      </c>
      <c r="C577" s="1" t="s">
        <v>2770</v>
      </c>
      <c r="D577" s="1" t="s">
        <v>1858</v>
      </c>
      <c r="E577" s="1" t="s">
        <v>1859</v>
      </c>
      <c r="F577" s="1" t="s">
        <v>33</v>
      </c>
      <c r="G577" s="1" t="s">
        <v>1860</v>
      </c>
      <c r="H577" s="24">
        <v>46016</v>
      </c>
      <c r="I577" s="1"/>
      <c r="J577" s="1">
        <v>47.920650000000002</v>
      </c>
      <c r="K577" s="1">
        <v>106.90263400000001</v>
      </c>
      <c r="L577" s="20">
        <v>0</v>
      </c>
      <c r="M577" s="20">
        <v>0.99930555555555556</v>
      </c>
      <c r="N577" s="1">
        <v>0.73639092957822683</v>
      </c>
      <c r="O577" s="1">
        <v>120.83034189340572</v>
      </c>
      <c r="P577" s="1">
        <v>1.0305683280225519</v>
      </c>
      <c r="Q577" s="1">
        <v>50.741335744455974</v>
      </c>
      <c r="R577" s="1">
        <v>0.67795736061235867</v>
      </c>
      <c r="S577" s="1">
        <v>95.318262407270609</v>
      </c>
      <c r="T577" s="1">
        <v>0.84914345621788934</v>
      </c>
      <c r="U577" s="1">
        <v>41.423636332003973</v>
      </c>
      <c r="V577" s="1">
        <v>0.92053739661526512</v>
      </c>
      <c r="W577" s="1">
        <v>133.18199833686319</v>
      </c>
      <c r="X577" s="1">
        <v>1.0622171211785376</v>
      </c>
      <c r="Y577" s="1">
        <v>52.728527320208435</v>
      </c>
      <c r="Z577" s="1">
        <v>0.31185063951290687</v>
      </c>
      <c r="AA577" s="1">
        <v>41.78592368125701</v>
      </c>
      <c r="AB577" s="1">
        <v>0.39206829210330257</v>
      </c>
      <c r="AC577" s="1">
        <v>26.540042242703539</v>
      </c>
    </row>
    <row r="578" spans="1:29" x14ac:dyDescent="0.2">
      <c r="A578" s="1" t="s">
        <v>2579</v>
      </c>
      <c r="B578" s="1" t="str">
        <f t="shared" ca="1" si="8"/>
        <v>Open</v>
      </c>
      <c r="C578" s="1" t="s">
        <v>2771</v>
      </c>
      <c r="D578" s="1" t="s">
        <v>2580</v>
      </c>
      <c r="E578" s="1" t="s">
        <v>2581</v>
      </c>
      <c r="F578" s="1" t="s">
        <v>2346</v>
      </c>
      <c r="G578" s="1" t="s">
        <v>2582</v>
      </c>
      <c r="H578" s="24">
        <v>46021</v>
      </c>
      <c r="I578" s="1"/>
      <c r="J578" s="1">
        <v>49.021284000000001</v>
      </c>
      <c r="K578" s="1">
        <v>104.035918</v>
      </c>
      <c r="L578" s="20">
        <v>0</v>
      </c>
      <c r="M578" s="20">
        <v>0.99930555555555556</v>
      </c>
      <c r="N578" s="1">
        <v>0.73639092957822683</v>
      </c>
      <c r="O578" s="1">
        <v>120.83034189340572</v>
      </c>
      <c r="P578" s="1">
        <v>1.0305683280225519</v>
      </c>
      <c r="Q578" s="1">
        <v>50.741335744455974</v>
      </c>
      <c r="R578" s="1">
        <v>0.71656247957457186</v>
      </c>
      <c r="S578" s="1">
        <v>103.85889736003715</v>
      </c>
      <c r="T578" s="1">
        <v>0.79418559542219036</v>
      </c>
      <c r="U578" s="1">
        <v>41.484571815874936</v>
      </c>
      <c r="V578" s="1">
        <v>0.92053739661526512</v>
      </c>
      <c r="W578" s="1">
        <v>133.18199833686319</v>
      </c>
      <c r="X578" s="1">
        <v>1.0622171211785376</v>
      </c>
      <c r="Y578" s="1">
        <v>52.728527320208435</v>
      </c>
      <c r="Z578" s="1">
        <v>0.39358033392923969</v>
      </c>
      <c r="AA578" s="1">
        <v>52.704220467836272</v>
      </c>
      <c r="AB578" s="1">
        <v>0.51214412591935476</v>
      </c>
      <c r="AC578" s="1">
        <v>29.08604778972521</v>
      </c>
    </row>
    <row r="579" spans="1:29" x14ac:dyDescent="0.2">
      <c r="A579" s="1" t="s">
        <v>1861</v>
      </c>
      <c r="B579" s="1" t="str">
        <f t="shared" ca="1" si="8"/>
        <v>Open</v>
      </c>
      <c r="C579" s="1" t="s">
        <v>2770</v>
      </c>
      <c r="D579" s="1" t="s">
        <v>1862</v>
      </c>
      <c r="E579" s="1" t="s">
        <v>1863</v>
      </c>
      <c r="F579" s="1" t="s">
        <v>11</v>
      </c>
      <c r="G579" s="1" t="s">
        <v>2703</v>
      </c>
      <c r="H579" s="24">
        <v>46052</v>
      </c>
      <c r="I579" s="1"/>
      <c r="J579" s="1">
        <v>47.921218000000003</v>
      </c>
      <c r="K579" s="1">
        <v>106.930841</v>
      </c>
      <c r="L579" s="20">
        <v>0.29166666666666669</v>
      </c>
      <c r="M579" s="20">
        <v>0.99930555555555556</v>
      </c>
      <c r="N579" s="1">
        <v>0.73639092957822683</v>
      </c>
      <c r="O579" s="1">
        <v>120.83034189340572</v>
      </c>
      <c r="P579" s="1">
        <v>1.0305683280225519</v>
      </c>
      <c r="Q579" s="1">
        <v>50.741335744455974</v>
      </c>
      <c r="R579" s="1">
        <v>0.70461739925338429</v>
      </c>
      <c r="S579" s="1">
        <v>91.333313689321884</v>
      </c>
      <c r="T579" s="1">
        <v>0.88052691399208294</v>
      </c>
      <c r="U579" s="1">
        <v>46.537733106197521</v>
      </c>
      <c r="V579" s="1">
        <v>0.92053739661526512</v>
      </c>
      <c r="W579" s="1">
        <v>133.18199833686319</v>
      </c>
      <c r="X579" s="1">
        <v>1.0622171211785376</v>
      </c>
      <c r="Y579" s="1">
        <v>52.728527320208435</v>
      </c>
      <c r="Z579" s="1">
        <v>0.68559656013798087</v>
      </c>
      <c r="AA579" s="1">
        <v>53.133612765283168</v>
      </c>
      <c r="AB579" s="1">
        <v>0.5350598570998274</v>
      </c>
      <c r="AC579" s="1">
        <v>38.431555482407354</v>
      </c>
    </row>
    <row r="580" spans="1:29" x14ac:dyDescent="0.2">
      <c r="A580" s="1" t="s">
        <v>1864</v>
      </c>
      <c r="B580" s="1" t="str">
        <f t="shared" ref="B580:B608" ca="1" si="9">IF(AND(NOT(ISBLANK(I580)), I580 &lt;= TODAY()), "Closed", IF(H580 &gt; TODAY(), "Will open in future", "Open"))</f>
        <v>Open</v>
      </c>
      <c r="C580" s="1" t="s">
        <v>2770</v>
      </c>
      <c r="D580" s="1" t="s">
        <v>1865</v>
      </c>
      <c r="E580" s="1" t="s">
        <v>1866</v>
      </c>
      <c r="F580" s="1" t="s">
        <v>48</v>
      </c>
      <c r="G580" s="1" t="s">
        <v>2704</v>
      </c>
      <c r="H580" s="24">
        <v>46021</v>
      </c>
      <c r="I580" s="1"/>
      <c r="J580" s="1">
        <v>47.908110999999998</v>
      </c>
      <c r="K580" s="1">
        <v>106.958854</v>
      </c>
      <c r="L580" s="20">
        <v>0.29166666666666669</v>
      </c>
      <c r="M580" s="20">
        <v>0.99930555555555556</v>
      </c>
      <c r="N580" s="1">
        <v>0.73639092957822683</v>
      </c>
      <c r="O580" s="1">
        <v>120.83034189340572</v>
      </c>
      <c r="P580" s="1">
        <v>1.0305683280225519</v>
      </c>
      <c r="Q580" s="1">
        <v>50.741335744455974</v>
      </c>
      <c r="R580" s="1">
        <v>0.77505565528977927</v>
      </c>
      <c r="S580" s="1">
        <v>110.38798636394478</v>
      </c>
      <c r="T580" s="1">
        <v>0.95323771147676561</v>
      </c>
      <c r="U580" s="1">
        <v>50.072527276006774</v>
      </c>
      <c r="V580" s="1">
        <v>0.92053739661526512</v>
      </c>
      <c r="W580" s="1">
        <v>133.18199833686319</v>
      </c>
      <c r="X580" s="1">
        <v>1.0622171211785376</v>
      </c>
      <c r="Y580" s="1">
        <v>52.728527320208435</v>
      </c>
      <c r="Z580" s="1">
        <v>0.24884686785072951</v>
      </c>
      <c r="AA580" s="1">
        <v>36.32490011223345</v>
      </c>
      <c r="AB580" s="1">
        <v>0.61626217136415773</v>
      </c>
      <c r="AC580" s="1">
        <v>28.551825089605739</v>
      </c>
    </row>
    <row r="581" spans="1:29" x14ac:dyDescent="0.2">
      <c r="A581" s="1" t="s">
        <v>1867</v>
      </c>
      <c r="B581" s="1" t="str">
        <f t="shared" ca="1" si="9"/>
        <v>Open</v>
      </c>
      <c r="C581" s="1" t="s">
        <v>2770</v>
      </c>
      <c r="D581" s="1" t="s">
        <v>1868</v>
      </c>
      <c r="E581" s="1" t="s">
        <v>1869</v>
      </c>
      <c r="F581" s="1" t="s">
        <v>48</v>
      </c>
      <c r="G581" s="1" t="s">
        <v>2705</v>
      </c>
      <c r="H581" s="24">
        <v>46021</v>
      </c>
      <c r="I581" s="1"/>
      <c r="J581" s="1">
        <v>47.917951899999998</v>
      </c>
      <c r="K581" s="1">
        <v>106.94594499999999</v>
      </c>
      <c r="L581" s="20">
        <v>0</v>
      </c>
      <c r="M581" s="20">
        <v>0.99930555555555556</v>
      </c>
      <c r="N581" s="1">
        <v>0.73639092957822683</v>
      </c>
      <c r="O581" s="1">
        <v>120.83034189340572</v>
      </c>
      <c r="P581" s="1">
        <v>1.0305683280225519</v>
      </c>
      <c r="Q581" s="1">
        <v>50.741335744455974</v>
      </c>
      <c r="R581" s="1">
        <v>0.63500964771492274</v>
      </c>
      <c r="S581" s="1">
        <v>84.344126955765603</v>
      </c>
      <c r="T581" s="1">
        <v>0.80377433223939476</v>
      </c>
      <c r="U581" s="1">
        <v>41.851313751358809</v>
      </c>
      <c r="V581" s="1">
        <v>0.92053739661526512</v>
      </c>
      <c r="W581" s="1">
        <v>133.18199833686319</v>
      </c>
      <c r="X581" s="1">
        <v>1.0622171211785376</v>
      </c>
      <c r="Y581" s="1">
        <v>52.728527320208435</v>
      </c>
      <c r="Z581" s="1">
        <v>0.52233248401828403</v>
      </c>
      <c r="AA581" s="1">
        <v>99.375332462252871</v>
      </c>
      <c r="AB581" s="1">
        <v>0.32105992922779775</v>
      </c>
      <c r="AC581" s="1">
        <v>24.980843687773788</v>
      </c>
    </row>
    <row r="582" spans="1:29" x14ac:dyDescent="0.2">
      <c r="A582" s="1" t="s">
        <v>1870</v>
      </c>
      <c r="B582" s="1" t="str">
        <f t="shared" ca="1" si="9"/>
        <v>Open</v>
      </c>
      <c r="C582" s="1" t="s">
        <v>2770</v>
      </c>
      <c r="D582" s="1" t="s">
        <v>1871</v>
      </c>
      <c r="E582" s="1" t="s">
        <v>1872</v>
      </c>
      <c r="F582" s="1" t="s">
        <v>48</v>
      </c>
      <c r="G582" s="1" t="s">
        <v>1873</v>
      </c>
      <c r="H582" s="24">
        <v>46081</v>
      </c>
      <c r="I582" s="1"/>
      <c r="J582" s="1">
        <v>47.926942400000001</v>
      </c>
      <c r="K582" s="1">
        <v>106.999869</v>
      </c>
      <c r="L582" s="20">
        <v>0</v>
      </c>
      <c r="M582" s="20">
        <v>0.99930555555555556</v>
      </c>
      <c r="N582" s="1">
        <v>0.73639092957822683</v>
      </c>
      <c r="O582" s="1">
        <v>120.83034189340572</v>
      </c>
      <c r="P582" s="1">
        <v>1.0305683280225519</v>
      </c>
      <c r="Q582" s="1">
        <v>50.741335744455974</v>
      </c>
      <c r="R582" s="1">
        <v>0.67101241856825611</v>
      </c>
      <c r="S582" s="1">
        <v>85.42335420214242</v>
      </c>
      <c r="T582" s="1">
        <v>0.76598628501358823</v>
      </c>
      <c r="U582" s="1">
        <v>39.585173966412576</v>
      </c>
      <c r="V582" s="1">
        <v>0.92053739661526512</v>
      </c>
      <c r="W582" s="1">
        <v>133.18199833686319</v>
      </c>
      <c r="X582" s="1">
        <v>1.0622171211785376</v>
      </c>
      <c r="Y582" s="1">
        <v>52.728527320208435</v>
      </c>
      <c r="Z582" s="1">
        <v>0.40726297107502879</v>
      </c>
      <c r="AA582" s="1">
        <v>73.489907057789139</v>
      </c>
      <c r="AB582" s="1">
        <v>0.64348366549301594</v>
      </c>
      <c r="AC582" s="1">
        <v>36.118771375815562</v>
      </c>
    </row>
    <row r="583" spans="1:29" x14ac:dyDescent="0.2">
      <c r="A583" s="1" t="s">
        <v>1874</v>
      </c>
      <c r="B583" s="1" t="str">
        <f t="shared" ca="1" si="9"/>
        <v>Open</v>
      </c>
      <c r="C583" s="1" t="s">
        <v>2770</v>
      </c>
      <c r="D583" s="1" t="s">
        <v>1875</v>
      </c>
      <c r="E583" s="1" t="s">
        <v>1876</v>
      </c>
      <c r="F583" s="1" t="s">
        <v>145</v>
      </c>
      <c r="G583" s="1" t="s">
        <v>1877</v>
      </c>
      <c r="H583" s="24">
        <v>46044</v>
      </c>
      <c r="I583" s="1"/>
      <c r="J583" s="1">
        <v>47.931994299999999</v>
      </c>
      <c r="K583" s="1">
        <v>106.819154</v>
      </c>
      <c r="L583" s="20">
        <v>0</v>
      </c>
      <c r="M583" s="20">
        <v>0.99930555555555556</v>
      </c>
      <c r="N583" s="1">
        <v>0.73639092957822683</v>
      </c>
      <c r="O583" s="1">
        <v>120.83034189340572</v>
      </c>
      <c r="P583" s="1">
        <v>1.0305683280225519</v>
      </c>
      <c r="Q583" s="1">
        <v>50.741335744455974</v>
      </c>
      <c r="R583" s="1">
        <v>0.69580325228014017</v>
      </c>
      <c r="S583" s="1">
        <v>97.762779129678634</v>
      </c>
      <c r="T583" s="1">
        <v>0.87361571110534453</v>
      </c>
      <c r="U583" s="1">
        <v>44.536670382183182</v>
      </c>
      <c r="V583" s="1">
        <v>0.92053739661526512</v>
      </c>
      <c r="W583" s="1">
        <v>133.18199833686319</v>
      </c>
      <c r="X583" s="1">
        <v>1.0622171211785376</v>
      </c>
      <c r="Y583" s="1">
        <v>52.728527320208435</v>
      </c>
      <c r="Z583" s="1">
        <v>0.51960916058049433</v>
      </c>
      <c r="AA583" s="1">
        <v>56.733033442645024</v>
      </c>
      <c r="AB583" s="1">
        <v>0.53100867364982729</v>
      </c>
      <c r="AC583" s="1">
        <v>35.313814053835934</v>
      </c>
    </row>
    <row r="584" spans="1:29" x14ac:dyDescent="0.2">
      <c r="A584" s="1" t="s">
        <v>1878</v>
      </c>
      <c r="B584" s="1" t="str">
        <f t="shared" ca="1" si="9"/>
        <v>Open</v>
      </c>
      <c r="C584" s="1" t="s">
        <v>2770</v>
      </c>
      <c r="D584" s="1" t="s">
        <v>1879</v>
      </c>
      <c r="E584" s="1" t="s">
        <v>1880</v>
      </c>
      <c r="F584" s="1" t="s">
        <v>28</v>
      </c>
      <c r="G584" s="1" t="s">
        <v>1881</v>
      </c>
      <c r="H584" s="24">
        <v>46053</v>
      </c>
      <c r="I584" s="1"/>
      <c r="J584" s="1">
        <v>47.921312</v>
      </c>
      <c r="K584" s="1">
        <v>106.85948</v>
      </c>
      <c r="L584" s="20">
        <v>0</v>
      </c>
      <c r="M584" s="20">
        <v>0.99930555555555556</v>
      </c>
      <c r="N584" s="1">
        <v>0.73639092957822683</v>
      </c>
      <c r="O584" s="1">
        <v>120.83034189340572</v>
      </c>
      <c r="P584" s="1">
        <v>1.0305683280225519</v>
      </c>
      <c r="Q584" s="1">
        <v>50.741335744455974</v>
      </c>
      <c r="R584" s="1">
        <v>0.69291336954825622</v>
      </c>
      <c r="S584" s="1">
        <v>92.678121381629595</v>
      </c>
      <c r="T584" s="1">
        <v>0.88052943988455601</v>
      </c>
      <c r="U584" s="1">
        <v>46.13431375135881</v>
      </c>
      <c r="V584" s="1">
        <v>0.92053739661526512</v>
      </c>
      <c r="W584" s="1">
        <v>133.18199833686319</v>
      </c>
      <c r="X584" s="1">
        <v>1.0622171211785376</v>
      </c>
      <c r="Y584" s="1">
        <v>52.728527320208435</v>
      </c>
      <c r="Z584" s="1">
        <v>0.53885751229169543</v>
      </c>
      <c r="AA584" s="1">
        <v>92.058407057789125</v>
      </c>
      <c r="AB584" s="1">
        <v>0.57202009579030355</v>
      </c>
      <c r="AC584" s="1">
        <v>40.589103101454974</v>
      </c>
    </row>
    <row r="585" spans="1:29" x14ac:dyDescent="0.2">
      <c r="A585" s="1" t="s">
        <v>1882</v>
      </c>
      <c r="B585" s="1" t="str">
        <f t="shared" ca="1" si="9"/>
        <v>Open</v>
      </c>
      <c r="C585" s="1" t="s">
        <v>2770</v>
      </c>
      <c r="D585" s="1" t="s">
        <v>1883</v>
      </c>
      <c r="E585" s="1" t="s">
        <v>1884</v>
      </c>
      <c r="F585" s="1" t="s">
        <v>11</v>
      </c>
      <c r="G585" s="1" t="s">
        <v>1885</v>
      </c>
      <c r="H585" s="24">
        <v>46065</v>
      </c>
      <c r="I585" s="1"/>
      <c r="J585" s="1">
        <v>47.941540500000002</v>
      </c>
      <c r="K585" s="1">
        <v>106.91537</v>
      </c>
      <c r="L585" s="20">
        <v>0</v>
      </c>
      <c r="M585" s="20">
        <v>0.99930555555555556</v>
      </c>
      <c r="N585" s="1">
        <v>0.73639092957822683</v>
      </c>
      <c r="O585" s="1">
        <v>120.83034189340572</v>
      </c>
      <c r="P585" s="1">
        <v>1.0305683280225519</v>
      </c>
      <c r="Q585" s="1">
        <v>50.741335744455974</v>
      </c>
      <c r="R585" s="1">
        <v>0.68563487602047823</v>
      </c>
      <c r="S585" s="1">
        <v>92.875064757697984</v>
      </c>
      <c r="T585" s="1">
        <v>0.84958463699423348</v>
      </c>
      <c r="U585" s="1">
        <v>43.82264815996097</v>
      </c>
      <c r="V585" s="1">
        <v>0.92053739661526512</v>
      </c>
      <c r="W585" s="1">
        <v>133.18199833686319</v>
      </c>
      <c r="X585" s="1">
        <v>1.0622171211785376</v>
      </c>
      <c r="Y585" s="1">
        <v>52.728527320208435</v>
      </c>
      <c r="Z585" s="1">
        <v>0.49764334496391771</v>
      </c>
      <c r="AA585" s="1">
        <v>83.118610761492846</v>
      </c>
      <c r="AB585" s="1">
        <v>0.6321940365168256</v>
      </c>
      <c r="AC585" s="1">
        <v>34.946366613910804</v>
      </c>
    </row>
    <row r="586" spans="1:29" x14ac:dyDescent="0.2">
      <c r="A586" s="1" t="s">
        <v>1886</v>
      </c>
      <c r="B586" s="1" t="str">
        <f t="shared" ca="1" si="9"/>
        <v>Open</v>
      </c>
      <c r="C586" s="1" t="s">
        <v>2770</v>
      </c>
      <c r="D586" s="1" t="s">
        <v>1887</v>
      </c>
      <c r="E586" s="1" t="s">
        <v>1888</v>
      </c>
      <c r="F586" s="1" t="s">
        <v>48</v>
      </c>
      <c r="G586" s="1" t="s">
        <v>1889</v>
      </c>
      <c r="H586" s="24">
        <v>46050</v>
      </c>
      <c r="I586" s="1"/>
      <c r="J586" s="1">
        <v>47.922646999999998</v>
      </c>
      <c r="K586" s="1">
        <v>106.960882</v>
      </c>
      <c r="L586" s="20">
        <v>0</v>
      </c>
      <c r="M586" s="20">
        <v>0.99930555555555556</v>
      </c>
      <c r="N586" s="1">
        <v>0.73639092957822683</v>
      </c>
      <c r="O586" s="1">
        <v>120.83034189340572</v>
      </c>
      <c r="P586" s="1">
        <v>1.0305683280225519</v>
      </c>
      <c r="Q586" s="1">
        <v>50.741335744455974</v>
      </c>
      <c r="R586" s="1">
        <v>0.65837201483086483</v>
      </c>
      <c r="S586" s="1">
        <v>85.600460289098933</v>
      </c>
      <c r="T586" s="1">
        <v>0.80320101113867792</v>
      </c>
      <c r="U586" s="1">
        <v>44.191748159960959</v>
      </c>
      <c r="V586" s="1">
        <v>0.92053739661526512</v>
      </c>
      <c r="W586" s="1">
        <v>133.18199833686319</v>
      </c>
      <c r="X586" s="1">
        <v>1.0622171211785376</v>
      </c>
      <c r="Y586" s="1">
        <v>52.728527320208435</v>
      </c>
      <c r="Z586" s="1">
        <v>0.39319065335010217</v>
      </c>
      <c r="AA586" s="1">
        <v>51.428231585059883</v>
      </c>
      <c r="AB586" s="1">
        <v>0.53329651361173214</v>
      </c>
      <c r="AC586" s="1">
        <v>28.945698339550216</v>
      </c>
    </row>
    <row r="587" spans="1:29" x14ac:dyDescent="0.2">
      <c r="A587" s="1" t="s">
        <v>1890</v>
      </c>
      <c r="B587" s="1" t="str">
        <f t="shared" ca="1" si="9"/>
        <v>Open</v>
      </c>
      <c r="C587" s="1" t="s">
        <v>2770</v>
      </c>
      <c r="D587" s="1" t="s">
        <v>1891</v>
      </c>
      <c r="E587" s="1" t="s">
        <v>1892</v>
      </c>
      <c r="F587" s="1" t="s">
        <v>64</v>
      </c>
      <c r="G587" s="1" t="s">
        <v>1893</v>
      </c>
      <c r="H587" s="24">
        <v>46050</v>
      </c>
      <c r="I587" s="1"/>
      <c r="J587" s="1">
        <v>47.848010000000002</v>
      </c>
      <c r="K587" s="1">
        <v>106.78915000000001</v>
      </c>
      <c r="L587" s="20">
        <v>0</v>
      </c>
      <c r="M587" s="20">
        <v>0.99930555555555556</v>
      </c>
      <c r="N587" s="1">
        <v>0.73639092957822683</v>
      </c>
      <c r="O587" s="1">
        <v>120.83034189340572</v>
      </c>
      <c r="P587" s="1">
        <v>1.0305683280225519</v>
      </c>
      <c r="Q587" s="1">
        <v>50.741335744455974</v>
      </c>
      <c r="R587" s="1">
        <v>0.68526659747492269</v>
      </c>
      <c r="S587" s="1">
        <v>96.042967535475739</v>
      </c>
      <c r="T587" s="1">
        <v>0.94082843412756689</v>
      </c>
      <c r="U587" s="1">
        <v>46.062725937738747</v>
      </c>
      <c r="V587" s="1">
        <v>0.92053739661526512</v>
      </c>
      <c r="W587" s="1">
        <v>133.18199833686319</v>
      </c>
      <c r="X587" s="1">
        <v>1.0622171211785376</v>
      </c>
      <c r="Y587" s="1">
        <v>52.728527320208435</v>
      </c>
      <c r="Z587" s="1">
        <v>0.42112776086020315</v>
      </c>
      <c r="AA587" s="1">
        <v>65.091314785485181</v>
      </c>
      <c r="AB587" s="1">
        <v>0.60482002097019771</v>
      </c>
      <c r="AC587" s="1">
        <v>35.622684671119877</v>
      </c>
    </row>
    <row r="588" spans="1:29" x14ac:dyDescent="0.2">
      <c r="A588" s="1" t="s">
        <v>1894</v>
      </c>
      <c r="B588" s="1" t="str">
        <f t="shared" ca="1" si="9"/>
        <v>Open</v>
      </c>
      <c r="C588" s="1" t="s">
        <v>2770</v>
      </c>
      <c r="D588" s="1" t="s">
        <v>1895</v>
      </c>
      <c r="E588" s="1" t="s">
        <v>1896</v>
      </c>
      <c r="F588" s="1" t="s">
        <v>145</v>
      </c>
      <c r="G588" s="1" t="s">
        <v>2706</v>
      </c>
      <c r="H588" s="24">
        <v>46050</v>
      </c>
      <c r="I588" s="1"/>
      <c r="J588" s="1">
        <v>47.900941000000003</v>
      </c>
      <c r="K588" s="1">
        <v>106.71728</v>
      </c>
      <c r="L588" s="20">
        <v>0</v>
      </c>
      <c r="M588" s="20">
        <v>0.99930555555555556</v>
      </c>
      <c r="N588" s="1">
        <v>0.73639092957822683</v>
      </c>
      <c r="O588" s="1">
        <v>120.83034189340572</v>
      </c>
      <c r="P588" s="1">
        <v>1.0305683280225519</v>
      </c>
      <c r="Q588" s="1">
        <v>50.741335744455974</v>
      </c>
      <c r="R588" s="1">
        <v>0.736596223996974</v>
      </c>
      <c r="S588" s="1">
        <v>95.344364971373182</v>
      </c>
      <c r="T588" s="1">
        <v>0.8157417674974593</v>
      </c>
      <c r="U588" s="1">
        <v>43.473733106197528</v>
      </c>
      <c r="V588" s="1">
        <v>0.92053739661526512</v>
      </c>
      <c r="W588" s="1">
        <v>133.18199833686319</v>
      </c>
      <c r="X588" s="1">
        <v>1.0622171211785376</v>
      </c>
      <c r="Y588" s="1">
        <v>52.728527320208435</v>
      </c>
      <c r="Z588" s="1">
        <v>0.6483987782894961</v>
      </c>
      <c r="AA588" s="1">
        <v>97.62749155316196</v>
      </c>
      <c r="AB588" s="1">
        <v>0.79059267363554164</v>
      </c>
      <c r="AC588" s="1">
        <v>45.515079291931166</v>
      </c>
    </row>
    <row r="589" spans="1:29" x14ac:dyDescent="0.2">
      <c r="A589" s="1" t="s">
        <v>1897</v>
      </c>
      <c r="B589" s="1" t="str">
        <f t="shared" ca="1" si="9"/>
        <v>Open</v>
      </c>
      <c r="C589" s="1" t="s">
        <v>2770</v>
      </c>
      <c r="D589" s="1" t="s">
        <v>1898</v>
      </c>
      <c r="E589" s="1" t="s">
        <v>1899</v>
      </c>
      <c r="F589" s="1" t="s">
        <v>11</v>
      </c>
      <c r="G589" s="1" t="s">
        <v>1900</v>
      </c>
      <c r="H589" s="24">
        <v>46052</v>
      </c>
      <c r="I589" s="1"/>
      <c r="J589" s="1">
        <v>47.929167999999997</v>
      </c>
      <c r="K589" s="1">
        <v>106.916145</v>
      </c>
      <c r="L589" s="20">
        <v>0</v>
      </c>
      <c r="M589" s="20">
        <v>0.99930555555555556</v>
      </c>
      <c r="N589" s="1">
        <v>0.73639092957822683</v>
      </c>
      <c r="O589" s="1">
        <v>120.83034189340572</v>
      </c>
      <c r="P589" s="1">
        <v>1.0305683280225519</v>
      </c>
      <c r="Q589" s="1">
        <v>50.741335744455974</v>
      </c>
      <c r="R589" s="1">
        <v>0.63888024635594831</v>
      </c>
      <c r="S589" s="1">
        <v>81.939762407270621</v>
      </c>
      <c r="T589" s="1">
        <v>0.85600358133616883</v>
      </c>
      <c r="U589" s="1">
        <v>43.267206224477093</v>
      </c>
      <c r="V589" s="1">
        <v>0.92053739661526512</v>
      </c>
      <c r="W589" s="1">
        <v>133.18199833686319</v>
      </c>
      <c r="X589" s="1">
        <v>1.0622171211785376</v>
      </c>
      <c r="Y589" s="1">
        <v>52.728527320208435</v>
      </c>
      <c r="Z589" s="1">
        <v>0.32041996731501443</v>
      </c>
      <c r="AA589" s="1">
        <v>58.336398251726543</v>
      </c>
      <c r="AB589" s="1">
        <v>0.64351845934982743</v>
      </c>
      <c r="AC589" s="1">
        <v>44.256615006216883</v>
      </c>
    </row>
    <row r="590" spans="1:29" x14ac:dyDescent="0.2">
      <c r="A590" s="1" t="s">
        <v>1901</v>
      </c>
      <c r="B590" s="1" t="str">
        <f t="shared" ca="1" si="9"/>
        <v>Open</v>
      </c>
      <c r="C590" s="1" t="s">
        <v>2770</v>
      </c>
      <c r="D590" s="1" t="s">
        <v>1902</v>
      </c>
      <c r="E590" s="1" t="s">
        <v>1903</v>
      </c>
      <c r="F590" s="1" t="s">
        <v>11</v>
      </c>
      <c r="G590" s="1" t="s">
        <v>1904</v>
      </c>
      <c r="H590" s="24">
        <v>46070</v>
      </c>
      <c r="I590" s="1"/>
      <c r="J590" s="1">
        <v>47.950051999999999</v>
      </c>
      <c r="K590" s="1">
        <v>106.918588</v>
      </c>
      <c r="L590" s="20">
        <v>0</v>
      </c>
      <c r="M590" s="20">
        <v>0.99930555555555556</v>
      </c>
      <c r="N590" s="1">
        <v>0.73639092957822683</v>
      </c>
      <c r="O590" s="1">
        <v>120.83034189340572</v>
      </c>
      <c r="P590" s="1">
        <v>1.0305683280225519</v>
      </c>
      <c r="Q590" s="1">
        <v>50.741335744455974</v>
      </c>
      <c r="R590" s="1">
        <v>0.64904540338158945</v>
      </c>
      <c r="S590" s="1">
        <v>84.541864971373187</v>
      </c>
      <c r="T590" s="1">
        <v>0.80996743004584637</v>
      </c>
      <c r="U590" s="1">
        <v>40.129528805122256</v>
      </c>
      <c r="V590" s="1">
        <v>0.92053739661526512</v>
      </c>
      <c r="W590" s="1">
        <v>133.18199833686319</v>
      </c>
      <c r="X590" s="1">
        <v>1.0622171211785376</v>
      </c>
      <c r="Y590" s="1">
        <v>52.728527320208435</v>
      </c>
      <c r="Z590" s="1">
        <v>0.4696601546940764</v>
      </c>
      <c r="AA590" s="1">
        <v>78.665335629217708</v>
      </c>
      <c r="AB590" s="1">
        <v>0.58382456882634937</v>
      </c>
      <c r="AC590" s="1">
        <v>34.035771375815564</v>
      </c>
    </row>
    <row r="591" spans="1:29" x14ac:dyDescent="0.2">
      <c r="A591" s="1" t="s">
        <v>1905</v>
      </c>
      <c r="B591" s="1" t="str">
        <f t="shared" ca="1" si="9"/>
        <v>Open</v>
      </c>
      <c r="C591" s="1" t="s">
        <v>2770</v>
      </c>
      <c r="D591" s="1" t="s">
        <v>1906</v>
      </c>
      <c r="E591" s="1" t="s">
        <v>1907</v>
      </c>
      <c r="F591" s="1" t="s">
        <v>33</v>
      </c>
      <c r="G591" s="1" t="s">
        <v>1908</v>
      </c>
      <c r="H591" s="24">
        <v>46078</v>
      </c>
      <c r="I591" s="1"/>
      <c r="J591" s="1">
        <v>47.9220282</v>
      </c>
      <c r="K591" s="1">
        <v>106.903059</v>
      </c>
      <c r="L591" s="20">
        <v>0</v>
      </c>
      <c r="M591" s="20">
        <v>0.99930555555555556</v>
      </c>
      <c r="N591" s="1">
        <v>0.73639092957822683</v>
      </c>
      <c r="O591" s="1">
        <v>120.83034189340572</v>
      </c>
      <c r="P591" s="1">
        <v>1.0305683280225519</v>
      </c>
      <c r="Q591" s="1">
        <v>50.741335744455974</v>
      </c>
      <c r="R591" s="1">
        <v>0.67939410571492276</v>
      </c>
      <c r="S591" s="1">
        <v>92.600891777900003</v>
      </c>
      <c r="T591" s="1">
        <v>0.86258029465874964</v>
      </c>
      <c r="U591" s="1">
        <v>44.527948159960964</v>
      </c>
      <c r="V591" s="1">
        <v>0.92053739661526512</v>
      </c>
      <c r="W591" s="1">
        <v>133.18199833686319</v>
      </c>
      <c r="X591" s="1">
        <v>1.0622171211785376</v>
      </c>
      <c r="Y591" s="1">
        <v>52.728527320208435</v>
      </c>
      <c r="Z591" s="1">
        <v>0.53778433440836215</v>
      </c>
      <c r="AA591" s="1">
        <v>99.288907057789132</v>
      </c>
      <c r="AB591" s="1">
        <v>0.60170889190968257</v>
      </c>
      <c r="AC591" s="1">
        <v>38.158938042482227</v>
      </c>
    </row>
    <row r="592" spans="1:29" x14ac:dyDescent="0.2">
      <c r="A592" s="1" t="s">
        <v>1909</v>
      </c>
      <c r="B592" s="1" t="str">
        <f t="shared" ca="1" si="9"/>
        <v>Will open in future</v>
      </c>
      <c r="C592" s="1" t="s">
        <v>2770</v>
      </c>
      <c r="D592" s="1" t="s">
        <v>1910</v>
      </c>
      <c r="E592" s="1" t="s">
        <v>1911</v>
      </c>
      <c r="F592" s="1" t="s">
        <v>48</v>
      </c>
      <c r="G592" s="1" t="s">
        <v>1912</v>
      </c>
      <c r="H592" s="24">
        <v>46204</v>
      </c>
      <c r="I592" s="1"/>
      <c r="J592" s="1">
        <v>47.919175000000003</v>
      </c>
      <c r="K592" s="1">
        <v>106.941084</v>
      </c>
      <c r="L592" s="1"/>
      <c r="M592" s="1"/>
      <c r="N592" s="1">
        <v>0.73639092957822683</v>
      </c>
      <c r="O592" s="1">
        <v>120.83034189340572</v>
      </c>
      <c r="P592" s="1">
        <v>1.0305683280225519</v>
      </c>
      <c r="Q592" s="1">
        <v>50.741335744455974</v>
      </c>
      <c r="R592" s="1">
        <v>0.77505565528977927</v>
      </c>
      <c r="S592" s="1">
        <v>110.38798636394478</v>
      </c>
      <c r="T592" s="1">
        <v>0.95323771147676561</v>
      </c>
      <c r="U592" s="1">
        <v>50.072527276006774</v>
      </c>
      <c r="V592" s="1">
        <v>0.92053739661526512</v>
      </c>
      <c r="W592" s="1">
        <v>133.18199833686319</v>
      </c>
      <c r="X592" s="1">
        <v>1.0622171211785376</v>
      </c>
      <c r="Y592" s="1">
        <v>52.728527320208435</v>
      </c>
      <c r="Z592" s="1">
        <v>0.61668712407906823</v>
      </c>
      <c r="AA592" s="1">
        <v>111.42882484304808</v>
      </c>
      <c r="AB592" s="1">
        <v>0.75426453629546997</v>
      </c>
      <c r="AC592" s="1">
        <v>41.5584292989384</v>
      </c>
    </row>
    <row r="593" spans="1:29" x14ac:dyDescent="0.2">
      <c r="A593" s="1" t="s">
        <v>1913</v>
      </c>
      <c r="B593" s="1" t="str">
        <f t="shared" ca="1" si="9"/>
        <v>Open</v>
      </c>
      <c r="C593" s="1" t="s">
        <v>2770</v>
      </c>
      <c r="D593" s="1" t="s">
        <v>1914</v>
      </c>
      <c r="E593" s="1" t="s">
        <v>1915</v>
      </c>
      <c r="F593" s="1" t="s">
        <v>145</v>
      </c>
      <c r="G593" s="1" t="s">
        <v>1916</v>
      </c>
      <c r="H593" s="24">
        <v>46078</v>
      </c>
      <c r="I593" s="1"/>
      <c r="J593" s="1">
        <v>47.94482</v>
      </c>
      <c r="K593" s="1">
        <v>106.807408</v>
      </c>
      <c r="L593" s="20">
        <v>0</v>
      </c>
      <c r="M593" s="20">
        <v>0.99930555555555556</v>
      </c>
      <c r="N593" s="1">
        <v>0.73639092957822683</v>
      </c>
      <c r="O593" s="1">
        <v>120.83034189340572</v>
      </c>
      <c r="P593" s="1">
        <v>1.0305683280225519</v>
      </c>
      <c r="Q593" s="1">
        <v>50.741335744455974</v>
      </c>
      <c r="R593" s="1">
        <v>0.64125945358671765</v>
      </c>
      <c r="S593" s="1">
        <v>83.967647022655242</v>
      </c>
      <c r="T593" s="1">
        <v>0.79960794584154538</v>
      </c>
      <c r="U593" s="1">
        <v>39.977410525552365</v>
      </c>
      <c r="V593" s="1">
        <v>0.92053739661526512</v>
      </c>
      <c r="W593" s="1">
        <v>133.18199833686319</v>
      </c>
      <c r="X593" s="1">
        <v>1.0622171211785376</v>
      </c>
      <c r="Y593" s="1">
        <v>52.728527320208435</v>
      </c>
      <c r="Z593" s="1">
        <v>0.47755301107502879</v>
      </c>
      <c r="AA593" s="1">
        <v>74.39212928001136</v>
      </c>
      <c r="AB593" s="1">
        <v>0.65664822674301593</v>
      </c>
      <c r="AC593" s="1">
        <v>40.562271375815563</v>
      </c>
    </row>
    <row r="594" spans="1:29" x14ac:dyDescent="0.2">
      <c r="A594" s="1" t="s">
        <v>1917</v>
      </c>
      <c r="B594" s="1" t="str">
        <f t="shared" ca="1" si="9"/>
        <v>Open</v>
      </c>
      <c r="C594" s="1" t="s">
        <v>2770</v>
      </c>
      <c r="D594" s="1" t="s">
        <v>1918</v>
      </c>
      <c r="E594" s="1" t="s">
        <v>1919</v>
      </c>
      <c r="F594" s="1" t="s">
        <v>11</v>
      </c>
      <c r="G594" s="1" t="s">
        <v>1920</v>
      </c>
      <c r="H594" s="24">
        <v>46081</v>
      </c>
      <c r="I594" s="1"/>
      <c r="J594" s="1">
        <v>47.939449000000003</v>
      </c>
      <c r="K594" s="1">
        <v>106.913087</v>
      </c>
      <c r="L594" s="20">
        <v>0</v>
      </c>
      <c r="M594" s="20">
        <v>0.99930555555555556</v>
      </c>
      <c r="N594" s="1">
        <v>0.73639092957822683</v>
      </c>
      <c r="O594" s="1">
        <v>120.83034189340572</v>
      </c>
      <c r="P594" s="1">
        <v>1.0305683280225519</v>
      </c>
      <c r="Q594" s="1">
        <v>50.741335744455974</v>
      </c>
      <c r="R594" s="1">
        <v>0.68526503476254186</v>
      </c>
      <c r="S594" s="1">
        <v>81.877538964047176</v>
      </c>
      <c r="T594" s="1">
        <v>0.85749903329315824</v>
      </c>
      <c r="U594" s="1">
        <v>44.570776116950206</v>
      </c>
      <c r="V594" s="1">
        <v>0.92053739661526512</v>
      </c>
      <c r="W594" s="1">
        <v>133.18199833686319</v>
      </c>
      <c r="X594" s="1">
        <v>1.0622171211785376</v>
      </c>
      <c r="Y594" s="1">
        <v>52.728527320208435</v>
      </c>
      <c r="Z594" s="1">
        <v>0.61668712407906823</v>
      </c>
      <c r="AA594" s="1">
        <v>111.42882484304808</v>
      </c>
      <c r="AB594" s="1">
        <v>0.60106698382634927</v>
      </c>
      <c r="AC594" s="1">
        <v>34.350438042482232</v>
      </c>
    </row>
    <row r="595" spans="1:29" x14ac:dyDescent="0.2">
      <c r="A595" s="1" t="s">
        <v>2772</v>
      </c>
      <c r="B595" s="1" t="str">
        <f t="shared" ca="1" si="9"/>
        <v>Will open in future</v>
      </c>
      <c r="C595" s="1" t="s">
        <v>2770</v>
      </c>
      <c r="D595" s="1" t="s">
        <v>2773</v>
      </c>
      <c r="E595" s="1" t="s">
        <v>2774</v>
      </c>
      <c r="F595" s="1" t="s">
        <v>2598</v>
      </c>
      <c r="G595" s="1" t="s">
        <v>2775</v>
      </c>
      <c r="H595" s="24">
        <v>46141</v>
      </c>
      <c r="I595" s="1"/>
      <c r="J595" s="1">
        <v>47.903948900000003</v>
      </c>
      <c r="K595" s="1">
        <v>106.920357</v>
      </c>
      <c r="L595" s="1"/>
      <c r="M595" s="1"/>
      <c r="N595" s="1">
        <v>0.73639092957822683</v>
      </c>
      <c r="O595" s="1">
        <v>120.83034189340572</v>
      </c>
      <c r="P595" s="1">
        <v>1.0305683280225519</v>
      </c>
      <c r="Q595" s="1">
        <v>50.741335744455974</v>
      </c>
      <c r="R595" s="1">
        <v>0.77505565528977927</v>
      </c>
      <c r="S595" s="1">
        <v>110.38798636394478</v>
      </c>
      <c r="T595" s="1">
        <v>0.95323771147676561</v>
      </c>
      <c r="U595" s="1">
        <v>50.072527276006774</v>
      </c>
      <c r="V595" s="1">
        <v>0.92053739661526512</v>
      </c>
      <c r="W595" s="1">
        <v>133.18199833686319</v>
      </c>
      <c r="X595" s="1">
        <v>1.0622171211785376</v>
      </c>
      <c r="Y595" s="1">
        <v>52.728527320208435</v>
      </c>
      <c r="Z595" s="1">
        <v>0.61668712407906823</v>
      </c>
      <c r="AA595" s="1">
        <v>111.42882484304808</v>
      </c>
      <c r="AB595" s="1">
        <v>0.75426453629546997</v>
      </c>
      <c r="AC595" s="1">
        <v>41.5584292989384</v>
      </c>
    </row>
    <row r="596" spans="1:29" x14ac:dyDescent="0.2">
      <c r="A596" s="1" t="s">
        <v>1921</v>
      </c>
      <c r="B596" s="1" t="str">
        <f ca="1">IF(AND(NOT(ISBLANK(I596)), I596 &lt;= TODAY()), "Closed", IF(H596 &gt; TODAY(), "Will open in future", "Open"))</f>
        <v>Open</v>
      </c>
      <c r="C596" s="1" t="s">
        <v>2770</v>
      </c>
      <c r="D596" s="1" t="s">
        <v>1197</v>
      </c>
      <c r="E596" s="1" t="s">
        <v>1198</v>
      </c>
      <c r="F596" s="1" t="s">
        <v>28</v>
      </c>
      <c r="G596" s="1" t="s">
        <v>1922</v>
      </c>
      <c r="H596" s="24">
        <v>46081</v>
      </c>
      <c r="I596" s="1"/>
      <c r="J596" s="1">
        <v>47.898167999999998</v>
      </c>
      <c r="K596" s="1">
        <v>106.837104</v>
      </c>
      <c r="L596" s="20">
        <v>0</v>
      </c>
      <c r="M596" s="20">
        <v>0.99930555555555556</v>
      </c>
      <c r="N596" s="1">
        <v>0.73639092957822683</v>
      </c>
      <c r="O596" s="1">
        <v>120.83034189340572</v>
      </c>
      <c r="P596" s="1">
        <v>1.0305683280225519</v>
      </c>
      <c r="Q596" s="1">
        <v>50.741335744455974</v>
      </c>
      <c r="R596" s="1">
        <v>0.65086354482158937</v>
      </c>
      <c r="S596" s="1">
        <v>89.834967535475755</v>
      </c>
      <c r="T596" s="1">
        <v>0.78414842889530867</v>
      </c>
      <c r="U596" s="1">
        <v>42.618195471788923</v>
      </c>
      <c r="V596" s="1">
        <v>0.92053739661526512</v>
      </c>
      <c r="W596" s="1">
        <v>133.18199833686319</v>
      </c>
      <c r="X596" s="1">
        <v>1.0622171211785376</v>
      </c>
      <c r="Y596" s="1">
        <v>52.728527320208435</v>
      </c>
      <c r="Z596" s="1">
        <v>0.61668712407906823</v>
      </c>
      <c r="AA596" s="1">
        <v>111.42882484304808</v>
      </c>
      <c r="AB596" s="1">
        <v>0.64266558282634934</v>
      </c>
      <c r="AC596" s="1">
        <v>42.667104709148894</v>
      </c>
    </row>
    <row r="597" spans="1:29" x14ac:dyDescent="0.2">
      <c r="A597" s="1" t="s">
        <v>2583</v>
      </c>
      <c r="B597" s="1" t="str">
        <f ca="1">IF(AND(NOT(ISBLANK(I597)), I597 &lt;= TODAY()), "Closed", IF(H597 &gt; TODAY(), "Will open in future", "Open"))</f>
        <v>Open</v>
      </c>
      <c r="C597" s="1" t="s">
        <v>2770</v>
      </c>
      <c r="D597" s="1" t="s">
        <v>2612</v>
      </c>
      <c r="E597" s="1" t="s">
        <v>2632</v>
      </c>
      <c r="F597" s="1" t="s">
        <v>48</v>
      </c>
      <c r="G597" s="1" t="s">
        <v>2707</v>
      </c>
      <c r="H597" s="24">
        <v>46106</v>
      </c>
      <c r="I597" s="1"/>
      <c r="J597" s="1">
        <v>47.911471300000002</v>
      </c>
      <c r="K597" s="1">
        <v>106.93350599999999</v>
      </c>
      <c r="L597" s="20">
        <v>0</v>
      </c>
      <c r="M597" s="20">
        <v>0.99930555555555556</v>
      </c>
      <c r="N597" s="1">
        <v>0.73639092957822683</v>
      </c>
      <c r="O597" s="1">
        <v>120.83034189340572</v>
      </c>
      <c r="P597" s="1">
        <v>1.0305683280225519</v>
      </c>
      <c r="Q597" s="1">
        <v>50.741335744455974</v>
      </c>
      <c r="R597" s="1">
        <v>0.72136282544825614</v>
      </c>
      <c r="S597" s="1">
        <v>93.986967535475742</v>
      </c>
      <c r="T597" s="1">
        <v>1.1650294586418524</v>
      </c>
      <c r="U597" s="1">
        <v>66.752043398056216</v>
      </c>
      <c r="V597" s="1">
        <v>0.92053739661526512</v>
      </c>
      <c r="W597" s="1">
        <v>133.18199833686319</v>
      </c>
      <c r="X597" s="1">
        <v>1.0622171211785376</v>
      </c>
      <c r="Y597" s="1">
        <v>52.728527320208435</v>
      </c>
      <c r="Z597" s="1">
        <v>0.61668712407906823</v>
      </c>
      <c r="AA597" s="1">
        <v>111.42882484304808</v>
      </c>
      <c r="AB597" s="1">
        <v>0.75426453629546997</v>
      </c>
      <c r="AC597" s="1">
        <v>41.5584292989384</v>
      </c>
    </row>
    <row r="598" spans="1:29" x14ac:dyDescent="0.2">
      <c r="A598" s="1" t="s">
        <v>2584</v>
      </c>
      <c r="B598" s="1" t="str">
        <f ca="1">IF(AND(NOT(ISBLANK(I598)), I598 &lt;= TODAY()), "Closed", IF(H598 &gt; TODAY(), "Will open in future", "Open"))</f>
        <v>Will open in future</v>
      </c>
      <c r="C598" s="1" t="s">
        <v>2771</v>
      </c>
      <c r="D598" s="1" t="s">
        <v>2613</v>
      </c>
      <c r="E598" s="1" t="s">
        <v>2633</v>
      </c>
      <c r="F598" s="1" t="s">
        <v>2599</v>
      </c>
      <c r="G598" s="1" t="s">
        <v>2708</v>
      </c>
      <c r="H598" s="24">
        <v>46204</v>
      </c>
      <c r="I598" s="1"/>
      <c r="J598" s="1">
        <v>49.4054006</v>
      </c>
      <c r="K598" s="1">
        <v>102.69015</v>
      </c>
      <c r="L598" s="1"/>
      <c r="M598" s="1"/>
      <c r="N598" s="1">
        <v>0.73639092957822683</v>
      </c>
      <c r="O598" s="1">
        <v>120.83034189340572</v>
      </c>
      <c r="P598" s="1">
        <v>1.0305683280225519</v>
      </c>
      <c r="Q598" s="1">
        <v>50.741335744455974</v>
      </c>
      <c r="R598" s="1">
        <v>0.77505565528977927</v>
      </c>
      <c r="S598" s="1">
        <v>110.38798636394478</v>
      </c>
      <c r="T598" s="1">
        <v>0.95323771147676561</v>
      </c>
      <c r="U598" s="1">
        <v>50.072527276006774</v>
      </c>
      <c r="V598" s="1">
        <v>0.92053739661526512</v>
      </c>
      <c r="W598" s="1">
        <v>133.18199833686319</v>
      </c>
      <c r="X598" s="1">
        <v>1.0622171211785376</v>
      </c>
      <c r="Y598" s="1">
        <v>52.728527320208435</v>
      </c>
      <c r="Z598" s="1">
        <v>0.61668712407906823</v>
      </c>
      <c r="AA598" s="1">
        <v>111.42882484304808</v>
      </c>
      <c r="AB598" s="1">
        <v>0.75426453629546997</v>
      </c>
      <c r="AC598" s="1">
        <v>41.5584292989384</v>
      </c>
    </row>
    <row r="599" spans="1:29" x14ac:dyDescent="0.2">
      <c r="A599" s="1" t="s">
        <v>2585</v>
      </c>
      <c r="B599" s="1" t="str">
        <f ca="1">IF(AND(NOT(ISBLANK(I599)), I599 &lt;= TODAY()), "Closed", IF(H599 &gt; TODAY(), "Will open in future", "Open"))</f>
        <v>Open</v>
      </c>
      <c r="C599" s="1" t="s">
        <v>2771</v>
      </c>
      <c r="D599" s="1" t="s">
        <v>2614</v>
      </c>
      <c r="E599" s="1" t="s">
        <v>2634</v>
      </c>
      <c r="F599" s="1" t="s">
        <v>2284</v>
      </c>
      <c r="G599" s="1" t="s">
        <v>2709</v>
      </c>
      <c r="H599" s="24">
        <v>46109</v>
      </c>
      <c r="I599" s="1"/>
      <c r="J599" s="1">
        <v>43.581547</v>
      </c>
      <c r="K599" s="1">
        <v>104.425133</v>
      </c>
      <c r="L599" s="20">
        <v>0</v>
      </c>
      <c r="M599" s="20">
        <v>0.99930555555555556</v>
      </c>
      <c r="N599" s="1">
        <v>0.73639092957822683</v>
      </c>
      <c r="O599" s="1">
        <v>120.83034189340572</v>
      </c>
      <c r="P599" s="1">
        <v>1.0305683280225519</v>
      </c>
      <c r="Q599" s="1">
        <v>50.741335744455974</v>
      </c>
      <c r="R599" s="1">
        <v>0.91683777388158949</v>
      </c>
      <c r="S599" s="1">
        <v>136.20746753547576</v>
      </c>
      <c r="T599" s="1">
        <v>0.93866315226090002</v>
      </c>
      <c r="U599" s="1">
        <v>61.591448159960969</v>
      </c>
      <c r="V599" s="1">
        <v>0.92053739661526512</v>
      </c>
      <c r="W599" s="1">
        <v>133.18199833686319</v>
      </c>
      <c r="X599" s="1">
        <v>1.0622171211785376</v>
      </c>
      <c r="Y599" s="1">
        <v>52.728527320208435</v>
      </c>
      <c r="Z599" s="1">
        <v>0.61668712407906823</v>
      </c>
      <c r="AA599" s="1">
        <v>111.42882484304808</v>
      </c>
      <c r="AB599" s="1">
        <v>0.75426453629546997</v>
      </c>
      <c r="AC599" s="1">
        <v>41.5584292989384</v>
      </c>
    </row>
    <row r="600" spans="1:29" x14ac:dyDescent="0.2">
      <c r="A600" s="1" t="s">
        <v>2586</v>
      </c>
      <c r="B600" s="1" t="str">
        <f ca="1">IF(AND(NOT(ISBLANK(I600)), I600 &lt;= TODAY()), "Closed", IF(H600 &gt; TODAY(), "Will open in future", "Open"))</f>
        <v>Will open in future</v>
      </c>
      <c r="C600" s="1" t="s">
        <v>2770</v>
      </c>
      <c r="D600" s="1" t="s">
        <v>2615</v>
      </c>
      <c r="E600" s="1" t="s">
        <v>2635</v>
      </c>
      <c r="F600" s="1" t="s">
        <v>11</v>
      </c>
      <c r="G600" s="1" t="s">
        <v>2710</v>
      </c>
      <c r="H600" s="24">
        <v>46204</v>
      </c>
      <c r="I600" s="1"/>
      <c r="J600" s="1">
        <v>47.923545900000001</v>
      </c>
      <c r="K600" s="1">
        <v>106.92147199999999</v>
      </c>
      <c r="L600" s="1"/>
      <c r="M600" s="1"/>
      <c r="N600" s="1">
        <v>0.73639092957822683</v>
      </c>
      <c r="O600" s="1">
        <v>120.83034189340572</v>
      </c>
      <c r="P600" s="1">
        <v>1.0305683280225519</v>
      </c>
      <c r="Q600" s="1">
        <v>50.741335744455974</v>
      </c>
      <c r="R600" s="1">
        <v>0.77505565528977927</v>
      </c>
      <c r="S600" s="1">
        <v>110.38798636394478</v>
      </c>
      <c r="T600" s="1">
        <v>0.95323771147676561</v>
      </c>
      <c r="U600" s="1">
        <v>50.072527276006774</v>
      </c>
      <c r="V600" s="1">
        <v>0.92053739661526512</v>
      </c>
      <c r="W600" s="1">
        <v>133.18199833686319</v>
      </c>
      <c r="X600" s="1">
        <v>1.0622171211785376</v>
      </c>
      <c r="Y600" s="1">
        <v>52.728527320208435</v>
      </c>
      <c r="Z600" s="1">
        <v>0.61668712407906823</v>
      </c>
      <c r="AA600" s="1">
        <v>111.42882484304808</v>
      </c>
      <c r="AB600" s="1">
        <v>0.75426453629546997</v>
      </c>
      <c r="AC600" s="1">
        <v>41.5584292989384</v>
      </c>
    </row>
    <row r="601" spans="1:29" x14ac:dyDescent="0.2">
      <c r="A601" s="1" t="s">
        <v>2587</v>
      </c>
      <c r="B601" s="1" t="str">
        <f ca="1">IF(AND(NOT(ISBLANK(I601)), I601 &lt;= TODAY()), "Closed", IF(H601 &gt; TODAY(), "Will open in future", "Open"))</f>
        <v>Open</v>
      </c>
      <c r="C601" s="1" t="s">
        <v>2770</v>
      </c>
      <c r="D601" s="1" t="s">
        <v>2616</v>
      </c>
      <c r="E601" s="1" t="s">
        <v>2636</v>
      </c>
      <c r="F601" s="1" t="s">
        <v>33</v>
      </c>
      <c r="G601" s="1" t="s">
        <v>2711</v>
      </c>
      <c r="H601" s="24">
        <v>46112</v>
      </c>
      <c r="I601" s="1"/>
      <c r="J601" s="1">
        <v>47.926810799999998</v>
      </c>
      <c r="K601" s="1">
        <v>106.91248</v>
      </c>
      <c r="L601" s="20">
        <v>0</v>
      </c>
      <c r="M601" s="20">
        <v>0.99930555555555556</v>
      </c>
      <c r="N601" s="1">
        <v>0.73639092957822683</v>
      </c>
      <c r="O601" s="1">
        <v>120.83034189340572</v>
      </c>
      <c r="P601" s="1">
        <v>1.0305683280225519</v>
      </c>
      <c r="Q601" s="1">
        <v>50.741335744455974</v>
      </c>
      <c r="R601" s="1">
        <v>0.77505565528977927</v>
      </c>
      <c r="S601" s="1">
        <v>110.38798636394478</v>
      </c>
      <c r="T601" s="1">
        <v>0.75895840859423347</v>
      </c>
      <c r="U601" s="1">
        <v>43.825948159960966</v>
      </c>
      <c r="V601" s="1">
        <v>0.92053739661526512</v>
      </c>
      <c r="W601" s="1">
        <v>133.18199833686319</v>
      </c>
      <c r="X601" s="1">
        <v>1.0622171211785376</v>
      </c>
      <c r="Y601" s="1">
        <v>52.728527320208435</v>
      </c>
      <c r="Z601" s="1">
        <v>0.61668712407906823</v>
      </c>
      <c r="AA601" s="1">
        <v>111.42882484304808</v>
      </c>
      <c r="AB601" s="1">
        <v>0.75426453629546997</v>
      </c>
      <c r="AC601" s="1">
        <v>41.5584292989384</v>
      </c>
    </row>
    <row r="602" spans="1:29" x14ac:dyDescent="0.2">
      <c r="A602" s="1" t="s">
        <v>2588</v>
      </c>
      <c r="B602" s="1" t="str">
        <f ca="1">IF(AND(NOT(ISBLANK(I602)), I602 &lt;= TODAY()), "Closed", IF(H602 &gt; TODAY(), "Will open in future", "Open"))</f>
        <v>Open</v>
      </c>
      <c r="C602" s="1" t="s">
        <v>2770</v>
      </c>
      <c r="D602" s="1" t="s">
        <v>2617</v>
      </c>
      <c r="E602" s="1" t="s">
        <v>2637</v>
      </c>
      <c r="F602" s="1" t="s">
        <v>48</v>
      </c>
      <c r="G602" s="1" t="s">
        <v>2712</v>
      </c>
      <c r="H602" s="24">
        <v>46123</v>
      </c>
      <c r="I602" s="1"/>
      <c r="J602" s="1">
        <v>47.900919399999999</v>
      </c>
      <c r="K602" s="1">
        <v>106.932509</v>
      </c>
      <c r="L602" s="20">
        <v>0</v>
      </c>
      <c r="M602" s="20">
        <v>0.99930555555555556</v>
      </c>
      <c r="N602" s="1">
        <v>0.73639092957822683</v>
      </c>
      <c r="O602" s="1">
        <v>120.83034189340572</v>
      </c>
      <c r="P602" s="1">
        <v>1.0305683280225519</v>
      </c>
      <c r="Q602" s="1">
        <v>50.741335744455974</v>
      </c>
      <c r="R602" s="1">
        <v>0.77505565528977927</v>
      </c>
      <c r="S602" s="1">
        <v>110.38798636394478</v>
      </c>
      <c r="T602" s="1">
        <v>0.95323771147676561</v>
      </c>
      <c r="U602" s="1">
        <v>50.072527276006774</v>
      </c>
      <c r="V602" s="1">
        <v>0.92053739661526512</v>
      </c>
      <c r="W602" s="1">
        <v>133.18199833686319</v>
      </c>
      <c r="X602" s="1">
        <v>1.0622171211785376</v>
      </c>
      <c r="Y602" s="1">
        <v>52.728527320208435</v>
      </c>
      <c r="Z602" s="1">
        <v>0.61668712407906823</v>
      </c>
      <c r="AA602" s="1">
        <v>111.42882484304808</v>
      </c>
      <c r="AB602" s="1">
        <v>0.75426453629546997</v>
      </c>
      <c r="AC602" s="1">
        <v>41.5584292989384</v>
      </c>
    </row>
    <row r="603" spans="1:29" x14ac:dyDescent="0.2">
      <c r="A603" s="1" t="s">
        <v>2589</v>
      </c>
      <c r="B603" s="1" t="str">
        <f ca="1">IF(AND(NOT(ISBLANK(I603)), I603 &lt;= TODAY()), "Closed", IF(H603 &gt; TODAY(), "Will open in future", "Open"))</f>
        <v>Open</v>
      </c>
      <c r="C603" s="1" t="s">
        <v>2770</v>
      </c>
      <c r="D603" s="1" t="s">
        <v>2618</v>
      </c>
      <c r="E603" s="1" t="s">
        <v>2638</v>
      </c>
      <c r="F603" s="1" t="s">
        <v>2598</v>
      </c>
      <c r="G603" s="1" t="s">
        <v>2713</v>
      </c>
      <c r="H603" s="24">
        <v>46112</v>
      </c>
      <c r="I603" s="1"/>
      <c r="J603" s="1">
        <v>47.893627000000002</v>
      </c>
      <c r="K603" s="1">
        <v>106.896277</v>
      </c>
      <c r="L603" s="20">
        <v>0</v>
      </c>
      <c r="M603" s="20">
        <v>0.99930555555555556</v>
      </c>
      <c r="N603" s="1">
        <v>0.73639092957822683</v>
      </c>
      <c r="O603" s="1">
        <v>120.83034189340572</v>
      </c>
      <c r="P603" s="1">
        <v>1.0305683280225519</v>
      </c>
      <c r="Q603" s="1">
        <v>50.741335744455974</v>
      </c>
      <c r="R603" s="1">
        <v>0.67315499638158938</v>
      </c>
      <c r="S603" s="1">
        <v>95.771634202142423</v>
      </c>
      <c r="T603" s="1">
        <v>0.81179405726090004</v>
      </c>
      <c r="U603" s="1">
        <v>46.451614826627633</v>
      </c>
      <c r="V603" s="1">
        <v>0.92053739661526512</v>
      </c>
      <c r="W603" s="1">
        <v>133.18199833686319</v>
      </c>
      <c r="X603" s="1">
        <v>1.0622171211785376</v>
      </c>
      <c r="Y603" s="1">
        <v>52.728527320208435</v>
      </c>
      <c r="Z603" s="1">
        <v>0.61668712407906823</v>
      </c>
      <c r="AA603" s="1">
        <v>111.42882484304808</v>
      </c>
      <c r="AB603" s="1">
        <v>0.75426453629546997</v>
      </c>
      <c r="AC603" s="1">
        <v>41.5584292989384</v>
      </c>
    </row>
    <row r="604" spans="1:29" x14ac:dyDescent="0.2">
      <c r="A604" s="1" t="s">
        <v>2590</v>
      </c>
      <c r="B604" s="1" t="str">
        <f ca="1">IF(AND(NOT(ISBLANK(I604)), I604 &lt;= TODAY()), "Closed", IF(H604 &gt; TODAY(), "Will open in future", "Open"))</f>
        <v>Will open in future</v>
      </c>
      <c r="C604" s="1" t="s">
        <v>2770</v>
      </c>
      <c r="D604" s="1" t="s">
        <v>2619</v>
      </c>
      <c r="E604" s="1" t="s">
        <v>2639</v>
      </c>
      <c r="F604" s="1" t="s">
        <v>2600</v>
      </c>
      <c r="G604" s="1" t="s">
        <v>2714</v>
      </c>
      <c r="H604" s="24">
        <v>46204</v>
      </c>
      <c r="I604" s="1"/>
      <c r="J604" s="1">
        <v>47.918893799999999</v>
      </c>
      <c r="K604" s="1">
        <v>106.952163</v>
      </c>
      <c r="L604" s="21"/>
      <c r="M604" s="21"/>
      <c r="N604" s="1">
        <v>0.73639092957822683</v>
      </c>
      <c r="O604" s="1">
        <v>120.83034189340572</v>
      </c>
      <c r="P604" s="1">
        <v>1.0305683280225519</v>
      </c>
      <c r="Q604" s="1">
        <v>50.741335744455974</v>
      </c>
      <c r="R604" s="1">
        <v>0.77505565528977927</v>
      </c>
      <c r="S604" s="1">
        <v>110.38798636394478</v>
      </c>
      <c r="T604" s="1">
        <v>0.95323771147676561</v>
      </c>
      <c r="U604" s="1">
        <v>50.072527276006774</v>
      </c>
      <c r="V604" s="1">
        <v>0.92053739661526512</v>
      </c>
      <c r="W604" s="1">
        <v>133.18199833686319</v>
      </c>
      <c r="X604" s="1">
        <v>1.0622171211785376</v>
      </c>
      <c r="Y604" s="1">
        <v>52.728527320208435</v>
      </c>
      <c r="Z604" s="1">
        <v>0.61668712407906823</v>
      </c>
      <c r="AA604" s="1">
        <v>111.42882484304808</v>
      </c>
      <c r="AB604" s="1">
        <v>0.75426453629546997</v>
      </c>
      <c r="AC604" s="1">
        <v>41.5584292989384</v>
      </c>
    </row>
    <row r="605" spans="1:29" x14ac:dyDescent="0.2">
      <c r="A605" s="1" t="s">
        <v>2591</v>
      </c>
      <c r="B605" s="1" t="str">
        <f ca="1">IF(AND(NOT(ISBLANK(I605)), I605 &lt;= TODAY()), "Closed", IF(H605 &gt; TODAY(), "Will open in future", "Open"))</f>
        <v>Open</v>
      </c>
      <c r="C605" s="1" t="s">
        <v>2770</v>
      </c>
      <c r="D605" s="1" t="s">
        <v>2620</v>
      </c>
      <c r="E605" s="1" t="s">
        <v>2640</v>
      </c>
      <c r="F605" s="1" t="s">
        <v>2598</v>
      </c>
      <c r="G605" s="1" t="s">
        <v>2715</v>
      </c>
      <c r="H605" s="24">
        <v>46121</v>
      </c>
      <c r="I605" s="1"/>
      <c r="J605" s="1">
        <v>47.869653800000002</v>
      </c>
      <c r="K605" s="1">
        <v>106.91057600000001</v>
      </c>
      <c r="L605" s="20">
        <v>0</v>
      </c>
      <c r="M605" s="20">
        <v>0.99930555555555556</v>
      </c>
      <c r="N605" s="1">
        <v>0.73639092957822683</v>
      </c>
      <c r="O605" s="1">
        <v>120.83034189340572</v>
      </c>
      <c r="P605" s="1">
        <v>1.0305683280225519</v>
      </c>
      <c r="Q605" s="1">
        <v>50.741335744455974</v>
      </c>
      <c r="R605" s="1">
        <v>0.77505565528977927</v>
      </c>
      <c r="S605" s="1">
        <v>110.38798636394478</v>
      </c>
      <c r="T605" s="1">
        <v>0.95323771147676561</v>
      </c>
      <c r="U605" s="1">
        <v>50.072527276006774</v>
      </c>
      <c r="V605" s="1">
        <v>0.92053739661526512</v>
      </c>
      <c r="W605" s="1">
        <v>133.18199833686319</v>
      </c>
      <c r="X605" s="1">
        <v>1.0622171211785376</v>
      </c>
      <c r="Y605" s="1">
        <v>52.728527320208435</v>
      </c>
      <c r="Z605" s="1">
        <v>0.61668712407906823</v>
      </c>
      <c r="AA605" s="1">
        <v>111.42882484304808</v>
      </c>
      <c r="AB605" s="1">
        <v>0.75426453629546997</v>
      </c>
      <c r="AC605" s="1">
        <v>41.5584292989384</v>
      </c>
    </row>
    <row r="606" spans="1:29" x14ac:dyDescent="0.2">
      <c r="A606" s="1" t="s">
        <v>2592</v>
      </c>
      <c r="B606" s="1" t="str">
        <f ca="1">IF(AND(NOT(ISBLANK(I606)), I606 &lt;= TODAY()), "Closed", IF(H606 &gt; TODAY(), "Will open in future", "Open"))</f>
        <v>Will open in future</v>
      </c>
      <c r="C606" s="1" t="s">
        <v>2770</v>
      </c>
      <c r="D606" s="1" t="s">
        <v>2621</v>
      </c>
      <c r="E606" s="1" t="s">
        <v>2641</v>
      </c>
      <c r="F606" s="1" t="s">
        <v>2601</v>
      </c>
      <c r="G606" s="1" t="s">
        <v>2716</v>
      </c>
      <c r="H606" s="24">
        <v>46140</v>
      </c>
      <c r="I606" s="1"/>
      <c r="J606" s="1">
        <v>47.917718999999998</v>
      </c>
      <c r="K606" s="1">
        <v>106.980177</v>
      </c>
      <c r="L606" s="21"/>
      <c r="M606" s="21"/>
      <c r="N606" s="1">
        <v>0.73639092957822683</v>
      </c>
      <c r="O606" s="1">
        <v>120.83034189340572</v>
      </c>
      <c r="P606" s="1">
        <v>1.0305683280225519</v>
      </c>
      <c r="Q606" s="1">
        <v>50.741335744455974</v>
      </c>
      <c r="R606" s="1">
        <v>0.77505565528977927</v>
      </c>
      <c r="S606" s="1">
        <v>110.38798636394478</v>
      </c>
      <c r="T606" s="1">
        <v>0.95323771147676561</v>
      </c>
      <c r="U606" s="1">
        <v>50.072527276006774</v>
      </c>
      <c r="V606" s="1">
        <v>0.92053739661526512</v>
      </c>
      <c r="W606" s="1">
        <v>133.18199833686319</v>
      </c>
      <c r="X606" s="1">
        <v>1.0622171211785376</v>
      </c>
      <c r="Y606" s="1">
        <v>52.728527320208435</v>
      </c>
      <c r="Z606" s="1">
        <v>0.61668712407906823</v>
      </c>
      <c r="AA606" s="1">
        <v>111.42882484304808</v>
      </c>
      <c r="AB606" s="1">
        <v>0.75426453629546997</v>
      </c>
      <c r="AC606" s="1">
        <v>41.5584292989384</v>
      </c>
    </row>
    <row r="607" spans="1:29" x14ac:dyDescent="0.2">
      <c r="A607" s="1" t="s">
        <v>2593</v>
      </c>
      <c r="B607" s="1" t="str">
        <f ca="1">IF(AND(NOT(ISBLANK(I607)), I607 &lt;= TODAY()), "Closed", IF(H607 &gt; TODAY(), "Will open in future", "Open"))</f>
        <v>Will open in future</v>
      </c>
      <c r="C607" s="1" t="s">
        <v>2770</v>
      </c>
      <c r="D607" s="1" t="s">
        <v>2622</v>
      </c>
      <c r="E607" s="1" t="s">
        <v>2642</v>
      </c>
      <c r="F607" s="1" t="s">
        <v>2602</v>
      </c>
      <c r="G607" s="1" t="s">
        <v>2717</v>
      </c>
      <c r="H607" s="24">
        <v>46130</v>
      </c>
      <c r="I607" s="1"/>
      <c r="J607" s="1">
        <v>47.917780100000002</v>
      </c>
      <c r="K607" s="1">
        <v>106.890434</v>
      </c>
      <c r="L607" s="21"/>
      <c r="M607" s="21"/>
      <c r="N607" s="1">
        <v>0.73639092957822683</v>
      </c>
      <c r="O607" s="1">
        <v>120.83034189340572</v>
      </c>
      <c r="P607" s="1">
        <v>1.0305683280225519</v>
      </c>
      <c r="Q607" s="1">
        <v>50.741335744455974</v>
      </c>
      <c r="R607" s="1">
        <v>0.77505565528977927</v>
      </c>
      <c r="S607" s="1">
        <v>110.38798636394478</v>
      </c>
      <c r="T607" s="1">
        <v>0.95323771147676561</v>
      </c>
      <c r="U607" s="1">
        <v>50.072527276006774</v>
      </c>
      <c r="V607" s="1">
        <v>0.92053739661526512</v>
      </c>
      <c r="W607" s="1">
        <v>133.18199833686319</v>
      </c>
      <c r="X607" s="1">
        <v>1.0622171211785376</v>
      </c>
      <c r="Y607" s="1">
        <v>52.728527320208435</v>
      </c>
      <c r="Z607" s="1">
        <v>0.61668712407906823</v>
      </c>
      <c r="AA607" s="1">
        <v>111.42882484304808</v>
      </c>
      <c r="AB607" s="1">
        <v>0.75426453629546997</v>
      </c>
      <c r="AC607" s="1">
        <v>41.5584292989384</v>
      </c>
    </row>
    <row r="608" spans="1:29" x14ac:dyDescent="0.2">
      <c r="A608" s="1" t="s">
        <v>2594</v>
      </c>
      <c r="B608" s="1" t="str">
        <f ca="1">IF(AND(NOT(ISBLANK(I608)), I608 &lt;= TODAY()), "Closed", IF(H608 &gt; TODAY(), "Will open in future", "Open"))</f>
        <v>Will open in future</v>
      </c>
      <c r="C608" s="1" t="s">
        <v>2771</v>
      </c>
      <c r="D608" s="1" t="s">
        <v>2623</v>
      </c>
      <c r="E608" s="1" t="s">
        <v>2643</v>
      </c>
      <c r="F608" s="1" t="s">
        <v>2603</v>
      </c>
      <c r="G608" s="1" t="s">
        <v>2718</v>
      </c>
      <c r="H608" s="24">
        <v>46142</v>
      </c>
      <c r="I608" s="1"/>
      <c r="J608" s="1">
        <v>48.061202000000002</v>
      </c>
      <c r="K608" s="1">
        <v>114.509688</v>
      </c>
      <c r="L608" s="21"/>
      <c r="M608" s="21"/>
      <c r="N608" s="1">
        <v>0.73639092957822683</v>
      </c>
      <c r="O608" s="1">
        <v>120.83034189340572</v>
      </c>
      <c r="P608" s="1">
        <v>1.0305683280225519</v>
      </c>
      <c r="Q608" s="1">
        <v>50.741335744455974</v>
      </c>
      <c r="R608" s="1">
        <v>0.77505565528977927</v>
      </c>
      <c r="S608" s="1">
        <v>110.38798636394478</v>
      </c>
      <c r="T608" s="1">
        <v>0.95323771147676561</v>
      </c>
      <c r="U608" s="1">
        <v>50.072527276006774</v>
      </c>
      <c r="V608" s="1">
        <v>0.92053739661526512</v>
      </c>
      <c r="W608" s="1">
        <v>133.18199833686319</v>
      </c>
      <c r="X608" s="1">
        <v>1.0622171211785376</v>
      </c>
      <c r="Y608" s="1">
        <v>52.728527320208435</v>
      </c>
      <c r="Z608" s="1">
        <v>0.61668712407906823</v>
      </c>
      <c r="AA608" s="1">
        <v>111.42882484304808</v>
      </c>
      <c r="AB608" s="1">
        <v>0.75426453629546997</v>
      </c>
      <c r="AC608" s="1">
        <v>41.5584292989384</v>
      </c>
    </row>
    <row r="609" spans="1:29" x14ac:dyDescent="0.2">
      <c r="A609" s="1" t="s">
        <v>2595</v>
      </c>
      <c r="B609" s="1" t="str">
        <f ca="1">IF(AND(NOT(ISBLANK(I609)), I609 &lt;= TODAY()), "Closed", IF(H609 &gt; TODAY(), "Will open in future", "Open"))</f>
        <v>Will open in future</v>
      </c>
      <c r="C609" s="1" t="s">
        <v>2771</v>
      </c>
      <c r="D609" s="1" t="s">
        <v>2624</v>
      </c>
      <c r="E609" s="1" t="s">
        <v>2644</v>
      </c>
      <c r="F609" s="1" t="s">
        <v>2308</v>
      </c>
      <c r="G609" s="1" t="s">
        <v>2719</v>
      </c>
      <c r="H609" s="24">
        <v>46142</v>
      </c>
      <c r="I609" s="1"/>
      <c r="J609" s="1">
        <v>43.198849000000003</v>
      </c>
      <c r="K609" s="1">
        <v>107.19117900000001</v>
      </c>
      <c r="L609" s="21"/>
      <c r="M609" s="21"/>
      <c r="N609" s="1">
        <v>0.73639092957822683</v>
      </c>
      <c r="O609" s="1">
        <v>120.83034189340572</v>
      </c>
      <c r="P609" s="1">
        <v>1.0305683280225519</v>
      </c>
      <c r="Q609" s="1">
        <v>50.741335744455974</v>
      </c>
      <c r="R609" s="1">
        <v>0.77505565528977927</v>
      </c>
      <c r="S609" s="1">
        <v>110.38798636394478</v>
      </c>
      <c r="T609" s="1">
        <v>0.95323771147676561</v>
      </c>
      <c r="U609" s="1">
        <v>50.072527276006774</v>
      </c>
      <c r="V609" s="1">
        <v>0.92053739661526512</v>
      </c>
      <c r="W609" s="1">
        <v>133.18199833686319</v>
      </c>
      <c r="X609" s="1">
        <v>1.0622171211785376</v>
      </c>
      <c r="Y609" s="1">
        <v>52.728527320208435</v>
      </c>
      <c r="Z609" s="1">
        <v>0.61668712407906823</v>
      </c>
      <c r="AA609" s="1">
        <v>111.42882484304808</v>
      </c>
      <c r="AB609" s="1">
        <v>0.75426453629546997</v>
      </c>
      <c r="AC609" s="1">
        <v>41.5584292989384</v>
      </c>
    </row>
    <row r="610" spans="1:29" x14ac:dyDescent="0.2">
      <c r="A610" s="22" t="s">
        <v>2596</v>
      </c>
      <c r="B610" s="1" t="s">
        <v>2767</v>
      </c>
      <c r="C610" s="1" t="s">
        <v>2770</v>
      </c>
      <c r="D610" s="17"/>
      <c r="E610" s="17" t="s">
        <v>2645</v>
      </c>
      <c r="F610" s="17" t="s">
        <v>2601</v>
      </c>
      <c r="G610" s="17"/>
      <c r="H610" s="24">
        <v>45161</v>
      </c>
      <c r="I610" s="1"/>
      <c r="J610" s="17"/>
      <c r="K610" s="17"/>
      <c r="L610" s="17"/>
      <c r="M610" s="17"/>
      <c r="N610" s="17">
        <v>1.0283232484434717</v>
      </c>
      <c r="O610" s="17">
        <v>160.32588397251186</v>
      </c>
      <c r="P610" s="17">
        <v>0.86839264574088626</v>
      </c>
      <c r="Q610" s="17">
        <v>44.889005754751928</v>
      </c>
      <c r="R610" s="17">
        <v>0.80118778979346239</v>
      </c>
      <c r="S610" s="17">
        <v>75.733136747308905</v>
      </c>
      <c r="T610" s="17">
        <v>1.1349722736928261</v>
      </c>
      <c r="U610" s="17">
        <v>62.918696334334975</v>
      </c>
      <c r="V610" s="17">
        <v>0.87729323900000011</v>
      </c>
      <c r="W610" s="17">
        <v>71.230666666666664</v>
      </c>
      <c r="X610" s="17">
        <v>0.78160034488888874</v>
      </c>
      <c r="Y610" s="17">
        <v>45.538611111111116</v>
      </c>
      <c r="Z610" s="17">
        <v>0.82076067290836219</v>
      </c>
      <c r="AA610" s="17">
        <v>138.54290705778917</v>
      </c>
      <c r="AB610" s="17">
        <v>0.75426453629546997</v>
      </c>
      <c r="AC610" s="17">
        <v>41.5584292989384</v>
      </c>
    </row>
  </sheetData>
  <mergeCells count="16">
    <mergeCell ref="Z1:AC1"/>
    <mergeCell ref="B1:B2"/>
    <mergeCell ref="F1:F2"/>
    <mergeCell ref="I1:I2"/>
    <mergeCell ref="K1:K2"/>
    <mergeCell ref="L1:L2"/>
    <mergeCell ref="M1:M2"/>
    <mergeCell ref="N1:Q1"/>
    <mergeCell ref="R1:U1"/>
    <mergeCell ref="V1:Y1"/>
    <mergeCell ref="J1:J2"/>
    <mergeCell ref="A1:A2"/>
    <mergeCell ref="D1:D2"/>
    <mergeCell ref="E1:E2"/>
    <mergeCell ref="H1:H2"/>
    <mergeCell ref="G1:G2"/>
  </mergeCells>
  <phoneticPr fontId="7" type="noConversion"/>
  <conditionalFormatting sqref="B1:B610">
    <cfRule type="cellIs" dxfId="5" priority="6" operator="equal">
      <formula>0</formula>
    </cfRule>
  </conditionalFormatting>
  <conditionalFormatting sqref="B3:B610">
    <cfRule type="containsText" dxfId="4" priority="3" operator="containsText" text="Will open in future">
      <formula>NOT(ISERROR(SEARCH("Will open in future",B3)))</formula>
    </cfRule>
    <cfRule type="containsText" dxfId="3" priority="4" operator="containsText" text="Closed">
      <formula>NOT(ISERROR(SEARCH("Closed",B3)))</formula>
    </cfRule>
  </conditionalFormatting>
  <conditionalFormatting sqref="L3:M594 L596:M603">
    <cfRule type="containsBlanks" dxfId="2" priority="5">
      <formula>LEN(TRIM(L3))=0</formula>
    </cfRule>
  </conditionalFormatting>
  <conditionalFormatting sqref="L605:M605">
    <cfRule type="containsBlanks" dxfId="1" priority="2">
      <formula>LEN(TRIM(L605))=0</formula>
    </cfRule>
  </conditionalFormatting>
  <conditionalFormatting sqref="L595:M595">
    <cfRule type="containsBlanks" dxfId="0" priority="1">
      <formula>LEN(TRIM(L595))=0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3169-DFAF-8645-BCA3-1E16E85C8591}">
  <sheetPr codeName="Sheet3"/>
  <dimension ref="A1:J115"/>
  <sheetViews>
    <sheetView topLeftCell="A55" workbookViewId="0">
      <selection activeCell="F52" sqref="F52"/>
    </sheetView>
  </sheetViews>
  <sheetFormatPr baseColWidth="10" defaultRowHeight="16" x14ac:dyDescent="0.2"/>
  <cols>
    <col min="1" max="1" width="8" bestFit="1" customWidth="1"/>
    <col min="2" max="2" width="7.33203125" bestFit="1" customWidth="1"/>
    <col min="3" max="3" width="12.83203125" bestFit="1" customWidth="1"/>
    <col min="4" max="4" width="10" bestFit="1" customWidth="1"/>
    <col min="5" max="5" width="14.1640625" bestFit="1" customWidth="1"/>
    <col min="6" max="6" width="10.1640625" bestFit="1" customWidth="1"/>
    <col min="7" max="7" width="10" bestFit="1" customWidth="1"/>
    <col min="8" max="8" width="8.1640625" bestFit="1" customWidth="1"/>
    <col min="9" max="10" width="12.1640625" bestFit="1" customWidth="1"/>
  </cols>
  <sheetData>
    <row r="1" spans="1:10" ht="33" thickBot="1" x14ac:dyDescent="0.25">
      <c r="A1" s="14" t="s">
        <v>1923</v>
      </c>
      <c r="B1" s="15" t="s">
        <v>1924</v>
      </c>
      <c r="C1" s="15" t="s">
        <v>2768</v>
      </c>
      <c r="D1" s="15" t="s">
        <v>2033</v>
      </c>
      <c r="E1" s="15" t="s">
        <v>1925</v>
      </c>
      <c r="F1" s="15" t="s">
        <v>1926</v>
      </c>
      <c r="G1" s="15" t="s">
        <v>1927</v>
      </c>
      <c r="H1" s="15" t="s">
        <v>1928</v>
      </c>
      <c r="I1" s="15" t="s">
        <v>1929</v>
      </c>
      <c r="J1" s="16" t="s">
        <v>1930</v>
      </c>
    </row>
    <row r="2" spans="1:10" x14ac:dyDescent="0.2">
      <c r="A2" s="3" t="s">
        <v>1931</v>
      </c>
      <c r="B2" s="4" t="s">
        <v>1932</v>
      </c>
      <c r="C2" s="5" t="s">
        <v>2031</v>
      </c>
      <c r="D2" s="4" t="s">
        <v>2034</v>
      </c>
      <c r="E2" s="4" t="s">
        <v>1933</v>
      </c>
      <c r="F2" s="4">
        <v>2500</v>
      </c>
      <c r="G2" s="4">
        <v>13.76</v>
      </c>
      <c r="H2" s="4">
        <v>588</v>
      </c>
      <c r="I2" s="4">
        <v>124708.1421</v>
      </c>
      <c r="J2" s="6">
        <v>163342.94870000001</v>
      </c>
    </row>
    <row r="3" spans="1:10" x14ac:dyDescent="0.2">
      <c r="A3" s="7" t="s">
        <v>1931</v>
      </c>
      <c r="B3" s="1" t="s">
        <v>1934</v>
      </c>
      <c r="C3" s="2" t="s">
        <v>2031</v>
      </c>
      <c r="D3" s="1" t="s">
        <v>2035</v>
      </c>
      <c r="E3" s="1" t="s">
        <v>1933</v>
      </c>
      <c r="F3" s="1">
        <v>2500</v>
      </c>
      <c r="G3" s="1">
        <v>13.76</v>
      </c>
      <c r="H3" s="1">
        <v>588</v>
      </c>
      <c r="I3" s="1">
        <v>124708.1421</v>
      </c>
      <c r="J3" s="8">
        <v>163342.94870000001</v>
      </c>
    </row>
    <row r="4" spans="1:10" x14ac:dyDescent="0.2">
      <c r="A4" s="7" t="s">
        <v>1931</v>
      </c>
      <c r="B4" s="1" t="s">
        <v>1935</v>
      </c>
      <c r="C4" s="2" t="s">
        <v>2031</v>
      </c>
      <c r="D4" s="1" t="s">
        <v>2036</v>
      </c>
      <c r="E4" s="1" t="s">
        <v>1933</v>
      </c>
      <c r="F4" s="1">
        <v>2500</v>
      </c>
      <c r="G4" s="1">
        <v>13.76</v>
      </c>
      <c r="H4" s="1">
        <v>588</v>
      </c>
      <c r="I4" s="1">
        <v>124708.1421</v>
      </c>
      <c r="J4" s="8">
        <v>163342.94870000001</v>
      </c>
    </row>
    <row r="5" spans="1:10" x14ac:dyDescent="0.2">
      <c r="A5" s="7" t="s">
        <v>1931</v>
      </c>
      <c r="B5" s="1" t="s">
        <v>1936</v>
      </c>
      <c r="C5" s="2" t="s">
        <v>2031</v>
      </c>
      <c r="D5" s="1" t="s">
        <v>2037</v>
      </c>
      <c r="E5" s="1" t="s">
        <v>1933</v>
      </c>
      <c r="F5" s="1">
        <v>2500</v>
      </c>
      <c r="G5" s="1">
        <v>13.76</v>
      </c>
      <c r="H5" s="1">
        <v>588</v>
      </c>
      <c r="I5" s="1">
        <v>124708.1421</v>
      </c>
      <c r="J5" s="8">
        <v>163342.94870000001</v>
      </c>
    </row>
    <row r="6" spans="1:10" x14ac:dyDescent="0.2">
      <c r="A6" s="7" t="s">
        <v>1931</v>
      </c>
      <c r="B6" s="1" t="s">
        <v>1937</v>
      </c>
      <c r="C6" s="2" t="s">
        <v>2031</v>
      </c>
      <c r="D6" s="1" t="s">
        <v>2038</v>
      </c>
      <c r="E6" s="1" t="s">
        <v>1933</v>
      </c>
      <c r="F6" s="1">
        <v>2500</v>
      </c>
      <c r="G6" s="1">
        <v>13.76</v>
      </c>
      <c r="H6" s="1">
        <v>588</v>
      </c>
      <c r="I6" s="1">
        <v>124708.1421</v>
      </c>
      <c r="J6" s="8">
        <v>163342.94870000001</v>
      </c>
    </row>
    <row r="7" spans="1:10" x14ac:dyDescent="0.2">
      <c r="A7" s="7" t="s">
        <v>1931</v>
      </c>
      <c r="B7" s="1" t="s">
        <v>1938</v>
      </c>
      <c r="C7" s="2" t="s">
        <v>2031</v>
      </c>
      <c r="D7" s="1" t="s">
        <v>2039</v>
      </c>
      <c r="E7" s="1" t="s">
        <v>1933</v>
      </c>
      <c r="F7" s="1">
        <v>2500</v>
      </c>
      <c r="G7" s="1">
        <v>13.76</v>
      </c>
      <c r="H7" s="1">
        <v>588</v>
      </c>
      <c r="I7" s="1">
        <v>124708.1421</v>
      </c>
      <c r="J7" s="8">
        <v>163342.94870000001</v>
      </c>
    </row>
    <row r="8" spans="1:10" x14ac:dyDescent="0.2">
      <c r="A8" s="7" t="s">
        <v>1931</v>
      </c>
      <c r="B8" s="1" t="s">
        <v>1939</v>
      </c>
      <c r="C8" s="2" t="s">
        <v>2031</v>
      </c>
      <c r="D8" s="1" t="s">
        <v>2040</v>
      </c>
      <c r="E8" s="1" t="s">
        <v>1933</v>
      </c>
      <c r="F8" s="1">
        <v>1500</v>
      </c>
      <c r="G8" s="1">
        <v>9.5299999999999994</v>
      </c>
      <c r="H8" s="1">
        <v>588</v>
      </c>
      <c r="I8" s="1">
        <v>124708.1421</v>
      </c>
      <c r="J8" s="8">
        <v>163342.94870000001</v>
      </c>
    </row>
    <row r="9" spans="1:10" x14ac:dyDescent="0.2">
      <c r="A9" s="7" t="s">
        <v>1931</v>
      </c>
      <c r="B9" s="1" t="s">
        <v>1940</v>
      </c>
      <c r="C9" s="2" t="s">
        <v>2031</v>
      </c>
      <c r="D9" s="1" t="s">
        <v>2041</v>
      </c>
      <c r="E9" s="1" t="s">
        <v>1933</v>
      </c>
      <c r="F9" s="1">
        <v>2500</v>
      </c>
      <c r="G9" s="1">
        <v>13.76</v>
      </c>
      <c r="H9" s="1">
        <v>588</v>
      </c>
      <c r="I9" s="1">
        <v>124708.1421</v>
      </c>
      <c r="J9" s="8">
        <v>163342.94870000001</v>
      </c>
    </row>
    <row r="10" spans="1:10" x14ac:dyDescent="0.2">
      <c r="A10" s="7" t="s">
        <v>1931</v>
      </c>
      <c r="B10" s="1" t="s">
        <v>1941</v>
      </c>
      <c r="C10" s="2" t="s">
        <v>2031</v>
      </c>
      <c r="D10" s="1" t="s">
        <v>2042</v>
      </c>
      <c r="E10" s="1" t="s">
        <v>1933</v>
      </c>
      <c r="F10" s="1">
        <v>2500</v>
      </c>
      <c r="G10" s="1">
        <v>13.76</v>
      </c>
      <c r="H10" s="1">
        <v>588</v>
      </c>
      <c r="I10" s="1">
        <v>124708.1421</v>
      </c>
      <c r="J10" s="8">
        <v>163342.94870000001</v>
      </c>
    </row>
    <row r="11" spans="1:10" x14ac:dyDescent="0.2">
      <c r="A11" s="7" t="s">
        <v>1931</v>
      </c>
      <c r="B11" s="1" t="s">
        <v>1942</v>
      </c>
      <c r="C11" s="2" t="s">
        <v>2031</v>
      </c>
      <c r="D11" s="1" t="s">
        <v>2043</v>
      </c>
      <c r="E11" s="1" t="s">
        <v>1933</v>
      </c>
      <c r="F11" s="1">
        <v>1500</v>
      </c>
      <c r="G11" s="1">
        <v>9.5299999999999994</v>
      </c>
      <c r="H11" s="1">
        <v>588</v>
      </c>
      <c r="I11" s="1">
        <v>124708.1421</v>
      </c>
      <c r="J11" s="8">
        <v>163342.94870000001</v>
      </c>
    </row>
    <row r="12" spans="1:10" x14ac:dyDescent="0.2">
      <c r="A12" s="7" t="s">
        <v>1931</v>
      </c>
      <c r="B12" s="1" t="s">
        <v>1943</v>
      </c>
      <c r="C12" s="2" t="s">
        <v>2031</v>
      </c>
      <c r="D12" s="1" t="s">
        <v>2044</v>
      </c>
      <c r="E12" s="1" t="s">
        <v>1933</v>
      </c>
      <c r="F12" s="1">
        <v>2500</v>
      </c>
      <c r="G12" s="1">
        <v>13.76</v>
      </c>
      <c r="H12" s="1">
        <v>588</v>
      </c>
      <c r="I12" s="1">
        <v>124708.1421</v>
      </c>
      <c r="J12" s="8">
        <v>163342.94870000001</v>
      </c>
    </row>
    <row r="13" spans="1:10" x14ac:dyDescent="0.2">
      <c r="A13" s="7" t="s">
        <v>1931</v>
      </c>
      <c r="B13" s="1" t="s">
        <v>1944</v>
      </c>
      <c r="C13" s="2" t="s">
        <v>2031</v>
      </c>
      <c r="D13" s="1" t="s">
        <v>2045</v>
      </c>
      <c r="E13" s="1" t="s">
        <v>1933</v>
      </c>
      <c r="F13" s="1">
        <v>1500</v>
      </c>
      <c r="G13" s="1">
        <v>9.5299999999999994</v>
      </c>
      <c r="H13" s="1">
        <v>588</v>
      </c>
      <c r="I13" s="1">
        <v>124708.1421</v>
      </c>
      <c r="J13" s="8">
        <v>163342.94870000001</v>
      </c>
    </row>
    <row r="14" spans="1:10" x14ac:dyDescent="0.2">
      <c r="A14" s="7" t="s">
        <v>1931</v>
      </c>
      <c r="B14" s="1" t="s">
        <v>1945</v>
      </c>
      <c r="C14" s="2" t="s">
        <v>2031</v>
      </c>
      <c r="D14" s="1" t="s">
        <v>2046</v>
      </c>
      <c r="E14" s="1" t="s">
        <v>1933</v>
      </c>
      <c r="F14" s="1">
        <v>1500</v>
      </c>
      <c r="G14" s="1">
        <v>9.5299999999999994</v>
      </c>
      <c r="H14" s="1">
        <v>588</v>
      </c>
      <c r="I14" s="1">
        <v>124708.1421</v>
      </c>
      <c r="J14" s="8">
        <v>163342.94870000001</v>
      </c>
    </row>
    <row r="15" spans="1:10" x14ac:dyDescent="0.2">
      <c r="A15" s="7" t="s">
        <v>1931</v>
      </c>
      <c r="B15" s="1" t="s">
        <v>1946</v>
      </c>
      <c r="C15" s="2" t="s">
        <v>2031</v>
      </c>
      <c r="D15" s="1" t="s">
        <v>2047</v>
      </c>
      <c r="E15" s="1" t="s">
        <v>1933</v>
      </c>
      <c r="F15" s="1">
        <v>1500</v>
      </c>
      <c r="G15" s="1">
        <v>9.5299999999999994</v>
      </c>
      <c r="H15" s="1">
        <v>588</v>
      </c>
      <c r="I15" s="1">
        <v>124708.1421</v>
      </c>
      <c r="J15" s="8">
        <v>163342.94870000001</v>
      </c>
    </row>
    <row r="16" spans="1:10" x14ac:dyDescent="0.2">
      <c r="A16" s="7" t="s">
        <v>1931</v>
      </c>
      <c r="B16" s="1" t="s">
        <v>1947</v>
      </c>
      <c r="C16" s="2" t="s">
        <v>2031</v>
      </c>
      <c r="D16" s="1" t="s">
        <v>2048</v>
      </c>
      <c r="E16" s="1" t="s">
        <v>1933</v>
      </c>
      <c r="F16" s="1">
        <v>2500</v>
      </c>
      <c r="G16" s="1">
        <v>13.76</v>
      </c>
      <c r="H16" s="1">
        <v>588</v>
      </c>
      <c r="I16" s="1">
        <v>124708.1421</v>
      </c>
      <c r="J16" s="8">
        <v>163342.94870000001</v>
      </c>
    </row>
    <row r="17" spans="1:10" x14ac:dyDescent="0.2">
      <c r="A17" s="7" t="s">
        <v>1931</v>
      </c>
      <c r="B17" s="1" t="s">
        <v>1948</v>
      </c>
      <c r="C17" s="2" t="s">
        <v>2031</v>
      </c>
      <c r="D17" s="1" t="s">
        <v>2049</v>
      </c>
      <c r="E17" s="1" t="s">
        <v>1933</v>
      </c>
      <c r="F17" s="1">
        <v>2500</v>
      </c>
      <c r="G17" s="1">
        <v>13.76</v>
      </c>
      <c r="H17" s="1">
        <v>588</v>
      </c>
      <c r="I17" s="1">
        <v>124708.1421</v>
      </c>
      <c r="J17" s="8">
        <v>163342.94870000001</v>
      </c>
    </row>
    <row r="18" spans="1:10" x14ac:dyDescent="0.2">
      <c r="A18" s="7" t="s">
        <v>1931</v>
      </c>
      <c r="B18" s="1" t="s">
        <v>1949</v>
      </c>
      <c r="C18" s="2" t="s">
        <v>2031</v>
      </c>
      <c r="D18" s="1" t="s">
        <v>2050</v>
      </c>
      <c r="E18" s="1" t="s">
        <v>1933</v>
      </c>
      <c r="F18" s="1">
        <v>2500</v>
      </c>
      <c r="G18" s="1">
        <v>13.76</v>
      </c>
      <c r="H18" s="1">
        <v>588</v>
      </c>
      <c r="I18" s="1">
        <v>124708.1421</v>
      </c>
      <c r="J18" s="8">
        <v>163342.94870000001</v>
      </c>
    </row>
    <row r="19" spans="1:10" x14ac:dyDescent="0.2">
      <c r="A19" s="7" t="s">
        <v>1931</v>
      </c>
      <c r="B19" s="1" t="s">
        <v>1950</v>
      </c>
      <c r="C19" s="2" t="s">
        <v>2031</v>
      </c>
      <c r="D19" s="1" t="s">
        <v>2051</v>
      </c>
      <c r="E19" s="1" t="s">
        <v>1933</v>
      </c>
      <c r="F19" s="1">
        <v>2500</v>
      </c>
      <c r="G19" s="1">
        <v>13.76</v>
      </c>
      <c r="H19" s="1">
        <v>588</v>
      </c>
      <c r="I19" s="1">
        <v>124708.1421</v>
      </c>
      <c r="J19" s="8">
        <v>163342.94870000001</v>
      </c>
    </row>
    <row r="20" spans="1:10" x14ac:dyDescent="0.2">
      <c r="A20" s="7" t="s">
        <v>1931</v>
      </c>
      <c r="B20" s="1" t="s">
        <v>1951</v>
      </c>
      <c r="C20" s="2" t="s">
        <v>2031</v>
      </c>
      <c r="D20" s="1" t="s">
        <v>2052</v>
      </c>
      <c r="E20" s="1" t="s">
        <v>1933</v>
      </c>
      <c r="F20" s="1">
        <v>2500</v>
      </c>
      <c r="G20" s="1">
        <v>13.76</v>
      </c>
      <c r="H20" s="1">
        <v>588</v>
      </c>
      <c r="I20" s="1">
        <v>124708.1421</v>
      </c>
      <c r="J20" s="8">
        <v>163342.94870000001</v>
      </c>
    </row>
    <row r="21" spans="1:10" x14ac:dyDescent="0.2">
      <c r="A21" s="7" t="s">
        <v>1931</v>
      </c>
      <c r="B21" s="1" t="s">
        <v>1952</v>
      </c>
      <c r="C21" s="2" t="s">
        <v>2031</v>
      </c>
      <c r="D21" s="1" t="s">
        <v>2053</v>
      </c>
      <c r="E21" s="1" t="s">
        <v>1933</v>
      </c>
      <c r="F21" s="1">
        <v>2500</v>
      </c>
      <c r="G21" s="1">
        <v>13.76</v>
      </c>
      <c r="H21" s="1">
        <v>588</v>
      </c>
      <c r="I21" s="1">
        <v>124708.1421</v>
      </c>
      <c r="J21" s="8">
        <v>163342.94870000001</v>
      </c>
    </row>
    <row r="22" spans="1:10" x14ac:dyDescent="0.2">
      <c r="A22" s="7" t="s">
        <v>1931</v>
      </c>
      <c r="B22" s="1" t="s">
        <v>1953</v>
      </c>
      <c r="C22" s="2" t="s">
        <v>2031</v>
      </c>
      <c r="D22" s="1" t="s">
        <v>2054</v>
      </c>
      <c r="E22" s="1" t="s">
        <v>1933</v>
      </c>
      <c r="F22" s="1">
        <v>1500</v>
      </c>
      <c r="G22" s="1">
        <v>9.5299999999999994</v>
      </c>
      <c r="H22" s="1">
        <v>588</v>
      </c>
      <c r="I22" s="1">
        <v>124708.1421</v>
      </c>
      <c r="J22" s="8">
        <v>163342.94870000001</v>
      </c>
    </row>
    <row r="23" spans="1:10" x14ac:dyDescent="0.2">
      <c r="A23" s="7" t="s">
        <v>1931</v>
      </c>
      <c r="B23" s="1" t="s">
        <v>1954</v>
      </c>
      <c r="C23" s="2" t="s">
        <v>2031</v>
      </c>
      <c r="D23" s="1" t="s">
        <v>2055</v>
      </c>
      <c r="E23" s="1" t="s">
        <v>1933</v>
      </c>
      <c r="F23" s="1">
        <v>2500</v>
      </c>
      <c r="G23" s="1">
        <v>13.76</v>
      </c>
      <c r="H23" s="1">
        <v>588</v>
      </c>
      <c r="I23" s="1">
        <v>124708.1421</v>
      </c>
      <c r="J23" s="8">
        <v>163342.94870000001</v>
      </c>
    </row>
    <row r="24" spans="1:10" x14ac:dyDescent="0.2">
      <c r="A24" s="7" t="s">
        <v>1931</v>
      </c>
      <c r="B24" s="1" t="s">
        <v>1955</v>
      </c>
      <c r="C24" s="2" t="s">
        <v>2031</v>
      </c>
      <c r="D24" s="1" t="s">
        <v>2056</v>
      </c>
      <c r="E24" s="1" t="s">
        <v>1933</v>
      </c>
      <c r="F24" s="1">
        <v>2500</v>
      </c>
      <c r="G24" s="1">
        <v>13.76</v>
      </c>
      <c r="H24" s="1">
        <v>588</v>
      </c>
      <c r="I24" s="1">
        <v>124708.1421</v>
      </c>
      <c r="J24" s="8">
        <v>163342.94870000001</v>
      </c>
    </row>
    <row r="25" spans="1:10" x14ac:dyDescent="0.2">
      <c r="A25" s="7" t="s">
        <v>1931</v>
      </c>
      <c r="B25" s="1" t="s">
        <v>1956</v>
      </c>
      <c r="C25" s="2" t="s">
        <v>2031</v>
      </c>
      <c r="D25" s="1" t="s">
        <v>2057</v>
      </c>
      <c r="E25" s="1" t="s">
        <v>1933</v>
      </c>
      <c r="F25" s="1">
        <v>1500</v>
      </c>
      <c r="G25" s="1">
        <v>9.5299999999999994</v>
      </c>
      <c r="H25" s="1">
        <v>588</v>
      </c>
      <c r="I25" s="1">
        <v>124708.1421</v>
      </c>
      <c r="J25" s="8">
        <v>163342.94870000001</v>
      </c>
    </row>
    <row r="26" spans="1:10" x14ac:dyDescent="0.2">
      <c r="A26" s="7" t="s">
        <v>1931</v>
      </c>
      <c r="B26" s="1" t="s">
        <v>1957</v>
      </c>
      <c r="C26" s="2" t="s">
        <v>2031</v>
      </c>
      <c r="D26" s="1" t="s">
        <v>2058</v>
      </c>
      <c r="E26" s="1" t="s">
        <v>1933</v>
      </c>
      <c r="F26" s="1">
        <v>2500</v>
      </c>
      <c r="G26" s="1">
        <v>13.76</v>
      </c>
      <c r="H26" s="1">
        <v>588</v>
      </c>
      <c r="I26" s="1">
        <v>124708.1421</v>
      </c>
      <c r="J26" s="8">
        <v>163342.94870000001</v>
      </c>
    </row>
    <row r="27" spans="1:10" x14ac:dyDescent="0.2">
      <c r="A27" s="7" t="s">
        <v>1931</v>
      </c>
      <c r="B27" s="1" t="s">
        <v>1958</v>
      </c>
      <c r="C27" s="2" t="s">
        <v>2031</v>
      </c>
      <c r="D27" s="1" t="s">
        <v>2059</v>
      </c>
      <c r="E27" s="1" t="s">
        <v>1933</v>
      </c>
      <c r="F27" s="1">
        <v>2500</v>
      </c>
      <c r="G27" s="1">
        <v>13.76</v>
      </c>
      <c r="H27" s="1">
        <v>588</v>
      </c>
      <c r="I27" s="1">
        <v>124708.1421</v>
      </c>
      <c r="J27" s="8">
        <v>163342.94870000001</v>
      </c>
    </row>
    <row r="28" spans="1:10" x14ac:dyDescent="0.2">
      <c r="A28" s="7" t="s">
        <v>1931</v>
      </c>
      <c r="B28" s="1" t="s">
        <v>1959</v>
      </c>
      <c r="C28" s="2" t="s">
        <v>2031</v>
      </c>
      <c r="D28" s="1" t="s">
        <v>2060</v>
      </c>
      <c r="E28" s="1" t="s">
        <v>1933</v>
      </c>
      <c r="F28" s="1">
        <v>2500</v>
      </c>
      <c r="G28" s="1">
        <v>13.76</v>
      </c>
      <c r="H28" s="1">
        <v>588</v>
      </c>
      <c r="I28" s="1">
        <v>124708.1421</v>
      </c>
      <c r="J28" s="8">
        <v>163342.94870000001</v>
      </c>
    </row>
    <row r="29" spans="1:10" x14ac:dyDescent="0.2">
      <c r="A29" s="7" t="s">
        <v>1931</v>
      </c>
      <c r="B29" s="1" t="s">
        <v>1960</v>
      </c>
      <c r="C29" s="2" t="s">
        <v>2031</v>
      </c>
      <c r="D29" s="1" t="s">
        <v>2061</v>
      </c>
      <c r="E29" s="1" t="s">
        <v>1933</v>
      </c>
      <c r="F29" s="1">
        <v>2500</v>
      </c>
      <c r="G29" s="1">
        <v>13.76</v>
      </c>
      <c r="H29" s="1">
        <v>588</v>
      </c>
      <c r="I29" s="1">
        <v>124708.1421</v>
      </c>
      <c r="J29" s="8">
        <v>163342.94870000001</v>
      </c>
    </row>
    <row r="30" spans="1:10" x14ac:dyDescent="0.2">
      <c r="A30" s="7" t="s">
        <v>1931</v>
      </c>
      <c r="B30" s="1" t="s">
        <v>1961</v>
      </c>
      <c r="C30" s="2" t="s">
        <v>2031</v>
      </c>
      <c r="D30" s="1" t="s">
        <v>2062</v>
      </c>
      <c r="E30" s="1" t="s">
        <v>1933</v>
      </c>
      <c r="F30" s="1">
        <v>2500</v>
      </c>
      <c r="G30" s="1">
        <v>13.76</v>
      </c>
      <c r="H30" s="1">
        <v>588</v>
      </c>
      <c r="I30" s="1">
        <v>124708.1421</v>
      </c>
      <c r="J30" s="8">
        <v>163342.94870000001</v>
      </c>
    </row>
    <row r="31" spans="1:10" x14ac:dyDescent="0.2">
      <c r="A31" s="7" t="s">
        <v>1931</v>
      </c>
      <c r="B31" s="1" t="s">
        <v>1962</v>
      </c>
      <c r="C31" s="2" t="s">
        <v>2031</v>
      </c>
      <c r="D31" s="1" t="s">
        <v>2063</v>
      </c>
      <c r="E31" s="1" t="s">
        <v>1933</v>
      </c>
      <c r="F31" s="1">
        <v>2500</v>
      </c>
      <c r="G31" s="1">
        <v>13.76</v>
      </c>
      <c r="H31" s="1">
        <v>588</v>
      </c>
      <c r="I31" s="1">
        <v>124708.1421</v>
      </c>
      <c r="J31" s="8">
        <v>163342.94870000001</v>
      </c>
    </row>
    <row r="32" spans="1:10" x14ac:dyDescent="0.2">
      <c r="A32" s="7" t="s">
        <v>1931</v>
      </c>
      <c r="B32" s="1" t="s">
        <v>1963</v>
      </c>
      <c r="C32" s="2" t="s">
        <v>2031</v>
      </c>
      <c r="D32" s="1" t="s">
        <v>2064</v>
      </c>
      <c r="E32" s="1" t="s">
        <v>1933</v>
      </c>
      <c r="F32" s="1">
        <v>2500</v>
      </c>
      <c r="G32" s="1">
        <v>13.76</v>
      </c>
      <c r="H32" s="1">
        <v>588</v>
      </c>
      <c r="I32" s="1">
        <v>124708.1421</v>
      </c>
      <c r="J32" s="8">
        <v>163342.94870000001</v>
      </c>
    </row>
    <row r="33" spans="1:10" x14ac:dyDescent="0.2">
      <c r="A33" s="7" t="s">
        <v>1931</v>
      </c>
      <c r="B33" s="1" t="s">
        <v>1964</v>
      </c>
      <c r="C33" s="2" t="s">
        <v>2031</v>
      </c>
      <c r="D33" s="1" t="s">
        <v>2065</v>
      </c>
      <c r="E33" s="1" t="s">
        <v>1933</v>
      </c>
      <c r="F33" s="1">
        <v>1500</v>
      </c>
      <c r="G33" s="1">
        <v>9.5299999999999994</v>
      </c>
      <c r="H33" s="1">
        <v>588</v>
      </c>
      <c r="I33" s="1">
        <v>124708.1421</v>
      </c>
      <c r="J33" s="8">
        <v>163342.94870000001</v>
      </c>
    </row>
    <row r="34" spans="1:10" x14ac:dyDescent="0.2">
      <c r="A34" s="7" t="s">
        <v>1931</v>
      </c>
      <c r="B34" s="1" t="s">
        <v>1965</v>
      </c>
      <c r="C34" s="2" t="s">
        <v>2031</v>
      </c>
      <c r="D34" s="1" t="s">
        <v>2066</v>
      </c>
      <c r="E34" s="1" t="s">
        <v>1933</v>
      </c>
      <c r="F34" s="1">
        <v>2500</v>
      </c>
      <c r="G34" s="1">
        <v>13.76</v>
      </c>
      <c r="H34" s="1">
        <v>588</v>
      </c>
      <c r="I34" s="1">
        <v>124708.1421</v>
      </c>
      <c r="J34" s="8">
        <v>163342.94870000001</v>
      </c>
    </row>
    <row r="35" spans="1:10" x14ac:dyDescent="0.2">
      <c r="A35" s="7" t="s">
        <v>1931</v>
      </c>
      <c r="B35" s="1" t="s">
        <v>1966</v>
      </c>
      <c r="C35" s="2" t="s">
        <v>2031</v>
      </c>
      <c r="D35" s="1" t="s">
        <v>2067</v>
      </c>
      <c r="E35" s="1" t="s">
        <v>1933</v>
      </c>
      <c r="F35" s="1">
        <v>2500</v>
      </c>
      <c r="G35" s="1">
        <v>13.76</v>
      </c>
      <c r="H35" s="1">
        <v>588</v>
      </c>
      <c r="I35" s="1">
        <v>124708.1421</v>
      </c>
      <c r="J35" s="8">
        <v>163342.94870000001</v>
      </c>
    </row>
    <row r="36" spans="1:10" x14ac:dyDescent="0.2">
      <c r="A36" s="7" t="s">
        <v>1931</v>
      </c>
      <c r="B36" s="1" t="s">
        <v>1967</v>
      </c>
      <c r="C36" s="2" t="s">
        <v>2031</v>
      </c>
      <c r="D36" s="1" t="s">
        <v>2068</v>
      </c>
      <c r="E36" s="1" t="s">
        <v>1933</v>
      </c>
      <c r="F36" s="1">
        <v>2500</v>
      </c>
      <c r="G36" s="1">
        <v>13.76</v>
      </c>
      <c r="H36" s="1">
        <v>588</v>
      </c>
      <c r="I36" s="1">
        <v>124708.1421</v>
      </c>
      <c r="J36" s="8">
        <v>163342.94870000001</v>
      </c>
    </row>
    <row r="37" spans="1:10" x14ac:dyDescent="0.2">
      <c r="A37" s="7" t="s">
        <v>1931</v>
      </c>
      <c r="B37" s="1" t="s">
        <v>1968</v>
      </c>
      <c r="C37" s="2" t="s">
        <v>2031</v>
      </c>
      <c r="D37" s="1" t="s">
        <v>2069</v>
      </c>
      <c r="E37" s="1" t="s">
        <v>1933</v>
      </c>
      <c r="F37" s="1">
        <v>2500</v>
      </c>
      <c r="G37" s="1">
        <v>13.76</v>
      </c>
      <c r="H37" s="1">
        <v>588</v>
      </c>
      <c r="I37" s="1">
        <v>124708.1421</v>
      </c>
      <c r="J37" s="8">
        <v>163342.94870000001</v>
      </c>
    </row>
    <row r="38" spans="1:10" x14ac:dyDescent="0.2">
      <c r="A38" s="7" t="s">
        <v>1931</v>
      </c>
      <c r="B38" s="1" t="s">
        <v>1969</v>
      </c>
      <c r="C38" s="2" t="s">
        <v>2031</v>
      </c>
      <c r="D38" s="1" t="s">
        <v>2070</v>
      </c>
      <c r="E38" s="1" t="s">
        <v>1933</v>
      </c>
      <c r="F38" s="1">
        <v>2500</v>
      </c>
      <c r="G38" s="1">
        <v>13.76</v>
      </c>
      <c r="H38" s="1">
        <v>588</v>
      </c>
      <c r="I38" s="1">
        <v>124708.1421</v>
      </c>
      <c r="J38" s="8">
        <v>163342.94870000001</v>
      </c>
    </row>
    <row r="39" spans="1:10" x14ac:dyDescent="0.2">
      <c r="A39" s="7" t="s">
        <v>1931</v>
      </c>
      <c r="B39" s="1" t="s">
        <v>2011</v>
      </c>
      <c r="C39" s="1" t="s">
        <v>2032</v>
      </c>
      <c r="D39" s="1" t="s">
        <v>2071</v>
      </c>
      <c r="E39" s="1" t="s">
        <v>2075</v>
      </c>
      <c r="F39" s="1">
        <v>1200</v>
      </c>
      <c r="G39" s="1">
        <v>7.92</v>
      </c>
      <c r="H39" s="25">
        <v>588</v>
      </c>
      <c r="I39" s="25">
        <v>249416.28419999999</v>
      </c>
      <c r="J39" s="26">
        <v>326685.89740000002</v>
      </c>
    </row>
    <row r="40" spans="1:10" x14ac:dyDescent="0.2">
      <c r="A40" s="7" t="s">
        <v>1931</v>
      </c>
      <c r="B40" s="1" t="s">
        <v>2012</v>
      </c>
      <c r="C40" s="1" t="s">
        <v>2032</v>
      </c>
      <c r="D40" s="1" t="s">
        <v>2072</v>
      </c>
      <c r="E40" s="1" t="s">
        <v>2076</v>
      </c>
      <c r="F40" s="1">
        <v>5000</v>
      </c>
      <c r="G40" s="1">
        <v>27.876000000000001</v>
      </c>
      <c r="H40" s="25">
        <v>588</v>
      </c>
      <c r="I40" s="25">
        <v>249416.28419999999</v>
      </c>
      <c r="J40" s="26">
        <v>326685.89740000002</v>
      </c>
    </row>
    <row r="41" spans="1:10" x14ac:dyDescent="0.2">
      <c r="A41" s="7" t="s">
        <v>1931</v>
      </c>
      <c r="B41" s="1" t="s">
        <v>2013</v>
      </c>
      <c r="C41" s="1" t="s">
        <v>2032</v>
      </c>
      <c r="D41" s="1" t="s">
        <v>2073</v>
      </c>
      <c r="E41" s="1" t="s">
        <v>2076</v>
      </c>
      <c r="F41" s="1">
        <v>5000</v>
      </c>
      <c r="G41" s="1">
        <v>27.876000000000001</v>
      </c>
      <c r="H41" s="25">
        <v>588</v>
      </c>
      <c r="I41" s="25">
        <v>249416.28419999999</v>
      </c>
      <c r="J41" s="26">
        <v>326685.89740000002</v>
      </c>
    </row>
    <row r="42" spans="1:10" x14ac:dyDescent="0.2">
      <c r="A42" s="7" t="s">
        <v>1931</v>
      </c>
      <c r="B42" s="1" t="s">
        <v>2014</v>
      </c>
      <c r="C42" s="1" t="s">
        <v>2032</v>
      </c>
      <c r="D42" s="1" t="s">
        <v>2074</v>
      </c>
      <c r="E42" s="1" t="s">
        <v>2076</v>
      </c>
      <c r="F42" s="1">
        <v>5000</v>
      </c>
      <c r="G42" s="1">
        <v>32.4</v>
      </c>
      <c r="H42" s="25">
        <v>588</v>
      </c>
      <c r="I42" s="25">
        <v>249416.28419999999</v>
      </c>
      <c r="J42" s="26">
        <v>326685.89740000002</v>
      </c>
    </row>
    <row r="43" spans="1:10" x14ac:dyDescent="0.2">
      <c r="A43" s="7" t="s">
        <v>1931</v>
      </c>
      <c r="B43" s="1" t="s">
        <v>2015</v>
      </c>
      <c r="C43" s="1" t="s">
        <v>2032</v>
      </c>
      <c r="D43" s="1" t="s">
        <v>2077</v>
      </c>
      <c r="E43" s="1" t="s">
        <v>2078</v>
      </c>
      <c r="F43" s="1">
        <v>5000</v>
      </c>
      <c r="G43" s="1">
        <v>35.1</v>
      </c>
      <c r="H43" s="25">
        <v>588</v>
      </c>
      <c r="I43" s="25">
        <v>249416.28419999999</v>
      </c>
      <c r="J43" s="26">
        <v>326685.89740000002</v>
      </c>
    </row>
    <row r="44" spans="1:10" x14ac:dyDescent="0.2">
      <c r="A44" s="7" t="s">
        <v>1931</v>
      </c>
      <c r="B44" s="1" t="s">
        <v>2016</v>
      </c>
      <c r="C44" s="1" t="s">
        <v>2032</v>
      </c>
      <c r="D44" s="1" t="s">
        <v>2079</v>
      </c>
      <c r="E44" s="1" t="s">
        <v>2080</v>
      </c>
      <c r="F44" s="1">
        <v>5000</v>
      </c>
      <c r="G44" s="1">
        <v>30.5</v>
      </c>
      <c r="H44" s="25">
        <v>588</v>
      </c>
      <c r="I44" s="25">
        <v>249416.28419999999</v>
      </c>
      <c r="J44" s="26">
        <v>326685.89740000002</v>
      </c>
    </row>
    <row r="45" spans="1:10" x14ac:dyDescent="0.2">
      <c r="A45" s="7" t="s">
        <v>1931</v>
      </c>
      <c r="B45" s="1" t="s">
        <v>2017</v>
      </c>
      <c r="C45" s="1" t="s">
        <v>2032</v>
      </c>
      <c r="D45" s="1" t="s">
        <v>2082</v>
      </c>
      <c r="E45" s="1" t="s">
        <v>2075</v>
      </c>
      <c r="F45" s="1">
        <v>1200</v>
      </c>
      <c r="G45" s="1">
        <v>6.82</v>
      </c>
      <c r="H45" s="25">
        <v>588</v>
      </c>
      <c r="I45" s="25">
        <v>249416.28419999999</v>
      </c>
      <c r="J45" s="26">
        <v>326685.89740000002</v>
      </c>
    </row>
    <row r="46" spans="1:10" x14ac:dyDescent="0.2">
      <c r="A46" s="7" t="s">
        <v>1931</v>
      </c>
      <c r="B46" s="1" t="s">
        <v>2018</v>
      </c>
      <c r="C46" s="1" t="s">
        <v>2032</v>
      </c>
      <c r="D46" s="1" t="s">
        <v>2083</v>
      </c>
      <c r="E46" s="1" t="s">
        <v>2075</v>
      </c>
      <c r="F46" s="1">
        <v>1200</v>
      </c>
      <c r="G46" s="1">
        <v>6.82</v>
      </c>
      <c r="H46" s="25">
        <v>588</v>
      </c>
      <c r="I46" s="25">
        <v>249416.28419999999</v>
      </c>
      <c r="J46" s="26">
        <v>326685.89740000002</v>
      </c>
    </row>
    <row r="47" spans="1:10" x14ac:dyDescent="0.2">
      <c r="A47" s="7" t="s">
        <v>1931</v>
      </c>
      <c r="B47" s="1" t="s">
        <v>2019</v>
      </c>
      <c r="C47" s="1" t="s">
        <v>2032</v>
      </c>
      <c r="D47" s="1" t="s">
        <v>2084</v>
      </c>
      <c r="E47" s="1" t="s">
        <v>2078</v>
      </c>
      <c r="F47" s="1">
        <v>5000</v>
      </c>
      <c r="G47" s="1">
        <v>33.119999999999997</v>
      </c>
      <c r="H47" s="25">
        <v>588</v>
      </c>
      <c r="I47" s="25">
        <v>249416.28419999999</v>
      </c>
      <c r="J47" s="26">
        <v>326685.89740000002</v>
      </c>
    </row>
    <row r="48" spans="1:10" x14ac:dyDescent="0.2">
      <c r="A48" s="7" t="s">
        <v>1931</v>
      </c>
      <c r="B48" s="1" t="s">
        <v>2020</v>
      </c>
      <c r="C48" s="1" t="s">
        <v>2032</v>
      </c>
      <c r="D48" s="1" t="s">
        <v>2085</v>
      </c>
      <c r="E48" s="1" t="s">
        <v>2078</v>
      </c>
      <c r="F48" s="1">
        <v>5000</v>
      </c>
      <c r="G48" s="1">
        <v>31</v>
      </c>
      <c r="H48" s="25">
        <v>588</v>
      </c>
      <c r="I48" s="25">
        <v>249416.28419999999</v>
      </c>
      <c r="J48" s="26">
        <v>326685.89740000002</v>
      </c>
    </row>
    <row r="49" spans="1:10" x14ac:dyDescent="0.2">
      <c r="A49" s="7" t="s">
        <v>1931</v>
      </c>
      <c r="B49" s="1" t="s">
        <v>2021</v>
      </c>
      <c r="C49" s="1" t="s">
        <v>2032</v>
      </c>
      <c r="D49" s="1" t="s">
        <v>2086</v>
      </c>
      <c r="E49" s="1" t="s">
        <v>2075</v>
      </c>
      <c r="F49" s="1">
        <v>1200</v>
      </c>
      <c r="G49" s="1">
        <v>6.82</v>
      </c>
      <c r="H49" s="25">
        <v>588</v>
      </c>
      <c r="I49" s="25">
        <v>249416.28419999999</v>
      </c>
      <c r="J49" s="26">
        <v>326685.89740000002</v>
      </c>
    </row>
    <row r="50" spans="1:10" x14ac:dyDescent="0.2">
      <c r="A50" s="7" t="s">
        <v>1931</v>
      </c>
      <c r="B50" s="1" t="s">
        <v>2022</v>
      </c>
      <c r="C50" s="1" t="s">
        <v>2032</v>
      </c>
      <c r="D50" s="1" t="s">
        <v>2087</v>
      </c>
      <c r="E50" s="1" t="s">
        <v>2076</v>
      </c>
      <c r="F50" s="1">
        <v>5000</v>
      </c>
      <c r="G50" s="1">
        <v>27.8</v>
      </c>
      <c r="H50" s="25">
        <v>588</v>
      </c>
      <c r="I50" s="25">
        <v>249416.28419999999</v>
      </c>
      <c r="J50" s="26">
        <v>326685.89740000002</v>
      </c>
    </row>
    <row r="51" spans="1:10" x14ac:dyDescent="0.2">
      <c r="A51" s="7" t="s">
        <v>1931</v>
      </c>
      <c r="B51" s="1" t="s">
        <v>2023</v>
      </c>
      <c r="C51" s="1" t="s">
        <v>2032</v>
      </c>
      <c r="D51" s="1" t="s">
        <v>2088</v>
      </c>
      <c r="E51" s="1" t="s">
        <v>2078</v>
      </c>
      <c r="F51" s="1">
        <v>5000</v>
      </c>
      <c r="G51" s="1">
        <v>29.7</v>
      </c>
      <c r="H51" s="25">
        <v>588</v>
      </c>
      <c r="I51" s="25">
        <v>249416.28419999999</v>
      </c>
      <c r="J51" s="26">
        <v>326685.89740000002</v>
      </c>
    </row>
    <row r="52" spans="1:10" x14ac:dyDescent="0.2">
      <c r="A52" s="7" t="s">
        <v>1931</v>
      </c>
      <c r="B52" s="1" t="s">
        <v>2024</v>
      </c>
      <c r="C52" s="1" t="s">
        <v>2032</v>
      </c>
      <c r="D52" s="1" t="s">
        <v>2089</v>
      </c>
      <c r="E52" s="1" t="s">
        <v>2081</v>
      </c>
      <c r="F52" s="1">
        <v>3500</v>
      </c>
      <c r="G52" s="1">
        <v>21.22</v>
      </c>
      <c r="H52" s="25">
        <v>588</v>
      </c>
      <c r="I52" s="25">
        <v>249416.28419999999</v>
      </c>
      <c r="J52" s="26">
        <v>326685.89740000002</v>
      </c>
    </row>
    <row r="53" spans="1:10" x14ac:dyDescent="0.2">
      <c r="A53" s="7" t="s">
        <v>1931</v>
      </c>
      <c r="B53" s="1" t="s">
        <v>2025</v>
      </c>
      <c r="C53" s="1" t="s">
        <v>2032</v>
      </c>
      <c r="D53" s="1" t="s">
        <v>2090</v>
      </c>
      <c r="E53" s="1" t="s">
        <v>2075</v>
      </c>
      <c r="F53" s="1">
        <v>1200</v>
      </c>
      <c r="G53" s="1">
        <v>6.82</v>
      </c>
      <c r="H53" s="25">
        <v>588</v>
      </c>
      <c r="I53" s="25">
        <v>249416.28419999999</v>
      </c>
      <c r="J53" s="26">
        <v>326685.89740000002</v>
      </c>
    </row>
    <row r="54" spans="1:10" x14ac:dyDescent="0.2">
      <c r="A54" s="7" t="s">
        <v>1931</v>
      </c>
      <c r="B54" s="1" t="s">
        <v>2026</v>
      </c>
      <c r="C54" s="1" t="s">
        <v>2032</v>
      </c>
      <c r="D54" s="1" t="s">
        <v>2091</v>
      </c>
      <c r="E54" s="1" t="s">
        <v>2075</v>
      </c>
      <c r="F54" s="1">
        <v>1200</v>
      </c>
      <c r="G54" s="1">
        <v>6.82</v>
      </c>
      <c r="H54" s="25">
        <v>588</v>
      </c>
      <c r="I54" s="25">
        <v>249416.28419999999</v>
      </c>
      <c r="J54" s="26">
        <v>326685.89740000002</v>
      </c>
    </row>
    <row r="55" spans="1:10" x14ac:dyDescent="0.2">
      <c r="A55" s="7" t="s">
        <v>1931</v>
      </c>
      <c r="B55" s="1" t="s">
        <v>2027</v>
      </c>
      <c r="C55" s="1" t="s">
        <v>2092</v>
      </c>
      <c r="D55" s="1" t="s">
        <v>2093</v>
      </c>
      <c r="E55" s="1" t="s">
        <v>2081</v>
      </c>
      <c r="F55" s="1">
        <v>3500</v>
      </c>
      <c r="G55" s="1">
        <v>21.2</v>
      </c>
      <c r="H55" s="25">
        <v>588</v>
      </c>
      <c r="I55" s="25">
        <v>249416.28419999999</v>
      </c>
      <c r="J55" s="26">
        <v>326685.89740000002</v>
      </c>
    </row>
    <row r="56" spans="1:10" x14ac:dyDescent="0.2">
      <c r="A56" s="7" t="s">
        <v>1931</v>
      </c>
      <c r="B56" s="1" t="s">
        <v>2028</v>
      </c>
      <c r="C56" s="1" t="s">
        <v>2092</v>
      </c>
      <c r="D56" s="1" t="s">
        <v>2094</v>
      </c>
      <c r="E56" s="1" t="s">
        <v>2095</v>
      </c>
      <c r="F56" s="1">
        <v>5000</v>
      </c>
      <c r="G56" s="1">
        <v>29.1</v>
      </c>
      <c r="H56" s="25">
        <v>588</v>
      </c>
      <c r="I56" s="25">
        <v>249416.28419999999</v>
      </c>
      <c r="J56" s="26">
        <v>326685.89740000002</v>
      </c>
    </row>
    <row r="57" spans="1:10" x14ac:dyDescent="0.2">
      <c r="A57" s="7" t="s">
        <v>1931</v>
      </c>
      <c r="B57" s="1" t="s">
        <v>2029</v>
      </c>
      <c r="C57" s="1" t="s">
        <v>2092</v>
      </c>
      <c r="D57" s="1" t="s">
        <v>2096</v>
      </c>
      <c r="E57" s="1" t="s">
        <v>2095</v>
      </c>
      <c r="F57" s="1">
        <v>5000</v>
      </c>
      <c r="G57" s="1">
        <v>30.1</v>
      </c>
      <c r="H57" s="25">
        <v>588</v>
      </c>
      <c r="I57" s="25">
        <v>249416.28419999999</v>
      </c>
      <c r="J57" s="26">
        <v>326685.89740000002</v>
      </c>
    </row>
    <row r="58" spans="1:10" ht="17" thickBot="1" x14ac:dyDescent="0.25">
      <c r="A58" s="9" t="s">
        <v>1931</v>
      </c>
      <c r="B58" s="10" t="s">
        <v>2030</v>
      </c>
      <c r="C58" s="10" t="s">
        <v>2097</v>
      </c>
      <c r="D58" s="10" t="s">
        <v>2098</v>
      </c>
      <c r="E58" s="10" t="s">
        <v>2075</v>
      </c>
      <c r="F58" s="10">
        <v>1200</v>
      </c>
      <c r="G58" s="10">
        <v>6.82</v>
      </c>
      <c r="H58" s="25">
        <v>588</v>
      </c>
      <c r="I58" s="25">
        <v>249416.28419999999</v>
      </c>
      <c r="J58" s="26">
        <v>326685.89740000002</v>
      </c>
    </row>
    <row r="59" spans="1:10" x14ac:dyDescent="0.2">
      <c r="A59" s="11" t="s">
        <v>1970</v>
      </c>
      <c r="B59" s="4" t="s">
        <v>1971</v>
      </c>
      <c r="C59" s="5" t="s">
        <v>2031</v>
      </c>
      <c r="D59" s="4" t="s">
        <v>2116</v>
      </c>
      <c r="E59" s="4" t="s">
        <v>1933</v>
      </c>
      <c r="F59" s="4">
        <v>2500</v>
      </c>
      <c r="G59" s="4">
        <v>13.76</v>
      </c>
      <c r="H59" s="4">
        <v>588</v>
      </c>
      <c r="I59" s="4">
        <v>124708.1421</v>
      </c>
      <c r="J59" s="6">
        <v>163342.94870000001</v>
      </c>
    </row>
    <row r="60" spans="1:10" x14ac:dyDescent="0.2">
      <c r="A60" s="12" t="s">
        <v>1970</v>
      </c>
      <c r="B60" s="1" t="s">
        <v>1972</v>
      </c>
      <c r="C60" s="2" t="s">
        <v>2031</v>
      </c>
      <c r="D60" s="1" t="s">
        <v>2117</v>
      </c>
      <c r="E60" s="1" t="s">
        <v>1933</v>
      </c>
      <c r="F60" s="1">
        <v>2500</v>
      </c>
      <c r="G60" s="1">
        <v>13.76</v>
      </c>
      <c r="H60" s="1">
        <v>588</v>
      </c>
      <c r="I60" s="1">
        <v>124708.1421</v>
      </c>
      <c r="J60" s="8">
        <v>163342.94870000001</v>
      </c>
    </row>
    <row r="61" spans="1:10" x14ac:dyDescent="0.2">
      <c r="A61" s="12" t="s">
        <v>1970</v>
      </c>
      <c r="B61" s="1" t="s">
        <v>1973</v>
      </c>
      <c r="C61" s="2" t="s">
        <v>2031</v>
      </c>
      <c r="D61" s="1" t="s">
        <v>2118</v>
      </c>
      <c r="E61" s="1" t="s">
        <v>1933</v>
      </c>
      <c r="F61" s="1">
        <v>1500</v>
      </c>
      <c r="G61" s="1">
        <v>9.5299999999999994</v>
      </c>
      <c r="H61" s="1">
        <v>588</v>
      </c>
      <c r="I61" s="1">
        <v>124708.1421</v>
      </c>
      <c r="J61" s="8">
        <v>163342.94870000001</v>
      </c>
    </row>
    <row r="62" spans="1:10" x14ac:dyDescent="0.2">
      <c r="A62" s="12" t="s">
        <v>1970</v>
      </c>
      <c r="B62" s="1" t="s">
        <v>1974</v>
      </c>
      <c r="C62" s="2" t="s">
        <v>2031</v>
      </c>
      <c r="D62" s="1" t="s">
        <v>2119</v>
      </c>
      <c r="E62" s="1" t="s">
        <v>1933</v>
      </c>
      <c r="F62" s="1">
        <v>2500</v>
      </c>
      <c r="G62" s="1">
        <v>13.76</v>
      </c>
      <c r="H62" s="1">
        <v>588</v>
      </c>
      <c r="I62" s="1">
        <v>124708.1421</v>
      </c>
      <c r="J62" s="8">
        <v>163342.94870000001</v>
      </c>
    </row>
    <row r="63" spans="1:10" x14ac:dyDescent="0.2">
      <c r="A63" s="12" t="s">
        <v>1970</v>
      </c>
      <c r="B63" s="1" t="s">
        <v>1975</v>
      </c>
      <c r="C63" s="2" t="s">
        <v>2031</v>
      </c>
      <c r="D63" s="1" t="s">
        <v>2120</v>
      </c>
      <c r="E63" s="1" t="s">
        <v>1933</v>
      </c>
      <c r="F63" s="1">
        <v>1500</v>
      </c>
      <c r="G63" s="1">
        <v>9.5299999999999994</v>
      </c>
      <c r="H63" s="1">
        <v>588</v>
      </c>
      <c r="I63" s="1">
        <v>124708.1421</v>
      </c>
      <c r="J63" s="8">
        <v>163342.94870000001</v>
      </c>
    </row>
    <row r="64" spans="1:10" x14ac:dyDescent="0.2">
      <c r="A64" s="12" t="s">
        <v>1970</v>
      </c>
      <c r="B64" s="1" t="s">
        <v>1976</v>
      </c>
      <c r="C64" s="2" t="s">
        <v>2031</v>
      </c>
      <c r="D64" s="1" t="s">
        <v>2121</v>
      </c>
      <c r="E64" s="1" t="s">
        <v>1933</v>
      </c>
      <c r="F64" s="1">
        <v>2500</v>
      </c>
      <c r="G64" s="1">
        <v>13.76</v>
      </c>
      <c r="H64" s="1">
        <v>588</v>
      </c>
      <c r="I64" s="1">
        <v>124708.1421</v>
      </c>
      <c r="J64" s="8">
        <v>163342.94870000001</v>
      </c>
    </row>
    <row r="65" spans="1:10" x14ac:dyDescent="0.2">
      <c r="A65" s="12" t="s">
        <v>1970</v>
      </c>
      <c r="B65" s="1" t="s">
        <v>1977</v>
      </c>
      <c r="C65" s="2" t="s">
        <v>2031</v>
      </c>
      <c r="D65" s="1" t="s">
        <v>2122</v>
      </c>
      <c r="E65" s="1" t="s">
        <v>1933</v>
      </c>
      <c r="F65" s="1">
        <v>2500</v>
      </c>
      <c r="G65" s="1">
        <v>13.76</v>
      </c>
      <c r="H65" s="1">
        <v>588</v>
      </c>
      <c r="I65" s="1">
        <v>124708.1421</v>
      </c>
      <c r="J65" s="8">
        <v>163342.94870000001</v>
      </c>
    </row>
    <row r="66" spans="1:10" x14ac:dyDescent="0.2">
      <c r="A66" s="12" t="s">
        <v>1970</v>
      </c>
      <c r="B66" s="1" t="s">
        <v>1978</v>
      </c>
      <c r="C66" s="2" t="s">
        <v>2031</v>
      </c>
      <c r="D66" s="1" t="s">
        <v>2123</v>
      </c>
      <c r="E66" s="1" t="s">
        <v>1933</v>
      </c>
      <c r="F66" s="1">
        <v>2500</v>
      </c>
      <c r="G66" s="1">
        <v>13.76</v>
      </c>
      <c r="H66" s="1">
        <v>588</v>
      </c>
      <c r="I66" s="1">
        <v>124708.1421</v>
      </c>
      <c r="J66" s="8">
        <v>163342.94870000001</v>
      </c>
    </row>
    <row r="67" spans="1:10" x14ac:dyDescent="0.2">
      <c r="A67" s="12" t="s">
        <v>1970</v>
      </c>
      <c r="B67" s="1" t="s">
        <v>1979</v>
      </c>
      <c r="C67" s="2" t="s">
        <v>2031</v>
      </c>
      <c r="D67" s="1" t="s">
        <v>2124</v>
      </c>
      <c r="E67" s="1" t="s">
        <v>1933</v>
      </c>
      <c r="F67" s="1">
        <v>1500</v>
      </c>
      <c r="G67" s="1">
        <v>9.5299999999999994</v>
      </c>
      <c r="H67" s="1">
        <v>588</v>
      </c>
      <c r="I67" s="1">
        <v>124708.1421</v>
      </c>
      <c r="J67" s="8">
        <v>163342.94870000001</v>
      </c>
    </row>
    <row r="68" spans="1:10" x14ac:dyDescent="0.2">
      <c r="A68" s="12" t="s">
        <v>1970</v>
      </c>
      <c r="B68" s="1" t="s">
        <v>1980</v>
      </c>
      <c r="C68" s="2" t="s">
        <v>2031</v>
      </c>
      <c r="D68" s="1" t="s">
        <v>2125</v>
      </c>
      <c r="E68" s="1" t="s">
        <v>1933</v>
      </c>
      <c r="F68" s="1">
        <v>2500</v>
      </c>
      <c r="G68" s="1">
        <v>13.76</v>
      </c>
      <c r="H68" s="1">
        <v>588</v>
      </c>
      <c r="I68" s="1">
        <v>124708.1421</v>
      </c>
      <c r="J68" s="8">
        <v>163342.94870000001</v>
      </c>
    </row>
    <row r="69" spans="1:10" x14ac:dyDescent="0.2">
      <c r="A69" s="12" t="s">
        <v>1970</v>
      </c>
      <c r="B69" s="1" t="s">
        <v>1981</v>
      </c>
      <c r="C69" s="2" t="s">
        <v>2031</v>
      </c>
      <c r="D69" s="1" t="s">
        <v>2126</v>
      </c>
      <c r="E69" s="1" t="s">
        <v>1933</v>
      </c>
      <c r="F69" s="1">
        <v>2500</v>
      </c>
      <c r="G69" s="1">
        <v>13.76</v>
      </c>
      <c r="H69" s="1">
        <v>588</v>
      </c>
      <c r="I69" s="1">
        <v>124708.1421</v>
      </c>
      <c r="J69" s="8">
        <v>163342.94870000001</v>
      </c>
    </row>
    <row r="70" spans="1:10" x14ac:dyDescent="0.2">
      <c r="A70" s="12" t="s">
        <v>1970</v>
      </c>
      <c r="B70" s="1" t="s">
        <v>1982</v>
      </c>
      <c r="C70" s="2" t="s">
        <v>2031</v>
      </c>
      <c r="D70" s="1" t="s">
        <v>2127</v>
      </c>
      <c r="E70" s="1" t="s">
        <v>1933</v>
      </c>
      <c r="F70" s="1">
        <v>2500</v>
      </c>
      <c r="G70" s="1">
        <v>13.76</v>
      </c>
      <c r="H70" s="1">
        <v>588</v>
      </c>
      <c r="I70" s="1">
        <v>124708.1421</v>
      </c>
      <c r="J70" s="8">
        <v>163342.94870000001</v>
      </c>
    </row>
    <row r="71" spans="1:10" x14ac:dyDescent="0.2">
      <c r="A71" s="12" t="s">
        <v>1970</v>
      </c>
      <c r="B71" s="1" t="s">
        <v>1983</v>
      </c>
      <c r="C71" s="2" t="s">
        <v>2031</v>
      </c>
      <c r="D71" s="1" t="s">
        <v>2128</v>
      </c>
      <c r="E71" s="1" t="s">
        <v>1933</v>
      </c>
      <c r="F71" s="1">
        <v>2500</v>
      </c>
      <c r="G71" s="1">
        <v>13.76</v>
      </c>
      <c r="H71" s="1">
        <v>588</v>
      </c>
      <c r="I71" s="1">
        <v>124708.1421</v>
      </c>
      <c r="J71" s="8">
        <v>163342.94870000001</v>
      </c>
    </row>
    <row r="72" spans="1:10" x14ac:dyDescent="0.2">
      <c r="A72" s="12" t="s">
        <v>1970</v>
      </c>
      <c r="B72" s="1" t="s">
        <v>1984</v>
      </c>
      <c r="C72" s="2" t="s">
        <v>2031</v>
      </c>
      <c r="D72" s="1" t="s">
        <v>2746</v>
      </c>
      <c r="E72" s="1" t="s">
        <v>1933</v>
      </c>
      <c r="F72" s="1">
        <v>1500</v>
      </c>
      <c r="G72" s="1">
        <v>9.5299999999999994</v>
      </c>
      <c r="H72" s="1">
        <v>588</v>
      </c>
      <c r="I72" s="1">
        <v>124708.1421</v>
      </c>
      <c r="J72" s="8">
        <v>163342.94870000001</v>
      </c>
    </row>
    <row r="73" spans="1:10" x14ac:dyDescent="0.2">
      <c r="A73" s="12" t="s">
        <v>1970</v>
      </c>
      <c r="B73" s="1" t="s">
        <v>1985</v>
      </c>
      <c r="C73" s="2" t="s">
        <v>2031</v>
      </c>
      <c r="D73" s="1" t="s">
        <v>2129</v>
      </c>
      <c r="E73" s="1" t="s">
        <v>1933</v>
      </c>
      <c r="F73" s="1">
        <v>1500</v>
      </c>
      <c r="G73" s="1">
        <v>9.5299999999999994</v>
      </c>
      <c r="H73" s="1">
        <v>588</v>
      </c>
      <c r="I73" s="1">
        <v>124708.1421</v>
      </c>
      <c r="J73" s="8">
        <v>163342.94870000001</v>
      </c>
    </row>
    <row r="74" spans="1:10" x14ac:dyDescent="0.2">
      <c r="A74" s="12" t="s">
        <v>1970</v>
      </c>
      <c r="B74" s="1" t="s">
        <v>1986</v>
      </c>
      <c r="C74" s="2" t="s">
        <v>2031</v>
      </c>
      <c r="D74" s="1" t="s">
        <v>2130</v>
      </c>
      <c r="E74" s="1" t="s">
        <v>1933</v>
      </c>
      <c r="F74" s="1">
        <v>1500</v>
      </c>
      <c r="G74" s="1">
        <v>9.5299999999999994</v>
      </c>
      <c r="H74" s="1">
        <v>588</v>
      </c>
      <c r="I74" s="1">
        <v>124708.1421</v>
      </c>
      <c r="J74" s="8">
        <v>163342.94870000001</v>
      </c>
    </row>
    <row r="75" spans="1:10" x14ac:dyDescent="0.2">
      <c r="A75" s="12" t="s">
        <v>1970</v>
      </c>
      <c r="B75" s="1" t="s">
        <v>1987</v>
      </c>
      <c r="C75" s="2" t="s">
        <v>2031</v>
      </c>
      <c r="D75" s="1" t="s">
        <v>2131</v>
      </c>
      <c r="E75" s="1" t="s">
        <v>1933</v>
      </c>
      <c r="F75" s="1">
        <v>2500</v>
      </c>
      <c r="G75" s="1">
        <v>13.76</v>
      </c>
      <c r="H75" s="1">
        <v>588</v>
      </c>
      <c r="I75" s="1">
        <v>124708.1421</v>
      </c>
      <c r="J75" s="8">
        <v>163342.94870000001</v>
      </c>
    </row>
    <row r="76" spans="1:10" x14ac:dyDescent="0.2">
      <c r="A76" s="12" t="s">
        <v>1970</v>
      </c>
      <c r="B76" s="1" t="s">
        <v>1988</v>
      </c>
      <c r="C76" s="2" t="s">
        <v>2031</v>
      </c>
      <c r="D76" s="1" t="s">
        <v>2132</v>
      </c>
      <c r="E76" s="1" t="s">
        <v>1933</v>
      </c>
      <c r="F76" s="1">
        <v>2500</v>
      </c>
      <c r="G76" s="1">
        <v>13.76</v>
      </c>
      <c r="H76" s="1">
        <v>588</v>
      </c>
      <c r="I76" s="1">
        <v>124708.1421</v>
      </c>
      <c r="J76" s="8">
        <v>163342.94870000001</v>
      </c>
    </row>
    <row r="77" spans="1:10" x14ac:dyDescent="0.2">
      <c r="A77" s="12" t="s">
        <v>1970</v>
      </c>
      <c r="B77" s="1" t="s">
        <v>1989</v>
      </c>
      <c r="C77" s="2" t="s">
        <v>2031</v>
      </c>
      <c r="D77" s="1" t="s">
        <v>2133</v>
      </c>
      <c r="E77" s="1" t="s">
        <v>1933</v>
      </c>
      <c r="F77" s="1">
        <v>1500</v>
      </c>
      <c r="G77" s="1">
        <v>9.5299999999999994</v>
      </c>
      <c r="H77" s="1">
        <v>588</v>
      </c>
      <c r="I77" s="1">
        <v>124708.1421</v>
      </c>
      <c r="J77" s="8">
        <v>163342.94870000001</v>
      </c>
    </row>
    <row r="78" spans="1:10" x14ac:dyDescent="0.2">
      <c r="A78" s="12" t="s">
        <v>1970</v>
      </c>
      <c r="B78" s="1" t="s">
        <v>1990</v>
      </c>
      <c r="C78" s="2" t="s">
        <v>2031</v>
      </c>
      <c r="D78" s="1" t="s">
        <v>2134</v>
      </c>
      <c r="E78" s="1" t="s">
        <v>1933</v>
      </c>
      <c r="F78" s="1">
        <v>1500</v>
      </c>
      <c r="G78" s="1">
        <v>9.5299999999999994</v>
      </c>
      <c r="H78" s="1">
        <v>588</v>
      </c>
      <c r="I78" s="1">
        <v>124708.1421</v>
      </c>
      <c r="J78" s="8">
        <v>163342.94870000001</v>
      </c>
    </row>
    <row r="79" spans="1:10" x14ac:dyDescent="0.2">
      <c r="A79" s="12" t="s">
        <v>1970</v>
      </c>
      <c r="B79" s="1" t="s">
        <v>1991</v>
      </c>
      <c r="C79" s="1" t="s">
        <v>2092</v>
      </c>
      <c r="D79" s="1" t="s">
        <v>2135</v>
      </c>
      <c r="E79" s="1" t="s">
        <v>2075</v>
      </c>
      <c r="F79" s="1">
        <v>1000</v>
      </c>
      <c r="G79" s="1">
        <v>5.83</v>
      </c>
      <c r="H79" s="25">
        <v>588</v>
      </c>
      <c r="I79" s="25">
        <v>249416.28419999999</v>
      </c>
      <c r="J79" s="26">
        <v>326685.89740000002</v>
      </c>
    </row>
    <row r="80" spans="1:10" x14ac:dyDescent="0.2">
      <c r="A80" s="12" t="s">
        <v>1970</v>
      </c>
      <c r="B80" s="1" t="s">
        <v>1992</v>
      </c>
      <c r="C80" s="1" t="s">
        <v>2092</v>
      </c>
      <c r="D80" s="1" t="s">
        <v>2136</v>
      </c>
      <c r="E80" s="1" t="s">
        <v>2075</v>
      </c>
      <c r="F80" s="1">
        <v>1200</v>
      </c>
      <c r="G80" s="1">
        <v>6.82</v>
      </c>
      <c r="H80" s="25">
        <v>588</v>
      </c>
      <c r="I80" s="25">
        <v>249416.28419999999</v>
      </c>
      <c r="J80" s="26">
        <v>326685.89740000002</v>
      </c>
    </row>
    <row r="81" spans="1:10" x14ac:dyDescent="0.2">
      <c r="A81" s="12" t="s">
        <v>1970</v>
      </c>
      <c r="B81" s="1" t="s">
        <v>1993</v>
      </c>
      <c r="C81" s="1" t="s">
        <v>2092</v>
      </c>
      <c r="D81" s="1" t="s">
        <v>2137</v>
      </c>
      <c r="E81" s="1" t="s">
        <v>2075</v>
      </c>
      <c r="F81" s="1">
        <v>1200</v>
      </c>
      <c r="G81" s="1">
        <v>6.82</v>
      </c>
      <c r="H81" s="25">
        <v>588</v>
      </c>
      <c r="I81" s="25">
        <v>249416.28419999999</v>
      </c>
      <c r="J81" s="26">
        <v>326685.89740000002</v>
      </c>
    </row>
    <row r="82" spans="1:10" x14ac:dyDescent="0.2">
      <c r="A82" s="12" t="s">
        <v>1970</v>
      </c>
      <c r="B82" s="1" t="s">
        <v>1994</v>
      </c>
      <c r="C82" s="1" t="s">
        <v>2092</v>
      </c>
      <c r="D82" s="1" t="s">
        <v>2138</v>
      </c>
      <c r="E82" s="1" t="s">
        <v>2075</v>
      </c>
      <c r="F82" s="1">
        <v>1000</v>
      </c>
      <c r="G82" s="1">
        <v>5.83</v>
      </c>
      <c r="H82" s="25">
        <v>588</v>
      </c>
      <c r="I82" s="25">
        <v>249416.28419999999</v>
      </c>
      <c r="J82" s="26">
        <v>326685.89740000002</v>
      </c>
    </row>
    <row r="83" spans="1:10" x14ac:dyDescent="0.2">
      <c r="A83" s="12" t="s">
        <v>1970</v>
      </c>
      <c r="B83" s="1" t="s">
        <v>1995</v>
      </c>
      <c r="C83" s="1" t="s">
        <v>2092</v>
      </c>
      <c r="D83" s="1" t="s">
        <v>2139</v>
      </c>
      <c r="E83" s="1" t="s">
        <v>2075</v>
      </c>
      <c r="F83" s="1">
        <v>1000</v>
      </c>
      <c r="G83" s="1">
        <v>5.83</v>
      </c>
      <c r="H83" s="25">
        <v>588</v>
      </c>
      <c r="I83" s="25">
        <v>249416.28419999999</v>
      </c>
      <c r="J83" s="26">
        <v>326685.89740000002</v>
      </c>
    </row>
    <row r="84" spans="1:10" x14ac:dyDescent="0.2">
      <c r="A84" s="12" t="s">
        <v>1970</v>
      </c>
      <c r="B84" s="1" t="s">
        <v>1996</v>
      </c>
      <c r="C84" s="1" t="s">
        <v>2092</v>
      </c>
      <c r="D84" s="1" t="s">
        <v>2140</v>
      </c>
      <c r="E84" s="1" t="s">
        <v>2075</v>
      </c>
      <c r="F84" s="1">
        <v>1200</v>
      </c>
      <c r="G84" s="1">
        <v>6.82</v>
      </c>
      <c r="H84" s="25">
        <v>588</v>
      </c>
      <c r="I84" s="25">
        <v>249416.28419999999</v>
      </c>
      <c r="J84" s="26">
        <v>326685.89740000002</v>
      </c>
    </row>
    <row r="85" spans="1:10" x14ac:dyDescent="0.2">
      <c r="A85" s="12" t="s">
        <v>1970</v>
      </c>
      <c r="B85" s="1" t="s">
        <v>1997</v>
      </c>
      <c r="C85" s="1" t="s">
        <v>2092</v>
      </c>
      <c r="D85" s="1" t="s">
        <v>2141</v>
      </c>
      <c r="E85" s="1" t="s">
        <v>2075</v>
      </c>
      <c r="F85" s="1">
        <v>1200</v>
      </c>
      <c r="G85" s="1">
        <v>6.82</v>
      </c>
      <c r="H85" s="25">
        <v>588</v>
      </c>
      <c r="I85" s="25">
        <v>249416.28419999999</v>
      </c>
      <c r="J85" s="26">
        <v>326685.89740000002</v>
      </c>
    </row>
    <row r="86" spans="1:10" x14ac:dyDescent="0.2">
      <c r="A86" s="12" t="s">
        <v>1970</v>
      </c>
      <c r="B86" s="1" t="s">
        <v>1998</v>
      </c>
      <c r="C86" s="1" t="s">
        <v>2092</v>
      </c>
      <c r="D86" s="1" t="s">
        <v>2142</v>
      </c>
      <c r="E86" s="1" t="s">
        <v>2075</v>
      </c>
      <c r="F86" s="1">
        <v>1200</v>
      </c>
      <c r="G86" s="1">
        <v>6.82</v>
      </c>
      <c r="H86" s="25">
        <v>588</v>
      </c>
      <c r="I86" s="25">
        <v>249416.28419999999</v>
      </c>
      <c r="J86" s="26">
        <v>326685.89740000002</v>
      </c>
    </row>
    <row r="87" spans="1:10" x14ac:dyDescent="0.2">
      <c r="A87" s="12" t="s">
        <v>1970</v>
      </c>
      <c r="B87" s="1" t="s">
        <v>1999</v>
      </c>
      <c r="C87" s="1" t="s">
        <v>2092</v>
      </c>
      <c r="D87" s="1" t="s">
        <v>2143</v>
      </c>
      <c r="E87" s="1" t="s">
        <v>2075</v>
      </c>
      <c r="F87" s="1">
        <v>1000</v>
      </c>
      <c r="G87" s="1">
        <v>5.83</v>
      </c>
      <c r="H87" s="25">
        <v>588</v>
      </c>
      <c r="I87" s="25">
        <v>249416.28419999999</v>
      </c>
      <c r="J87" s="26">
        <v>326685.89740000002</v>
      </c>
    </row>
    <row r="88" spans="1:10" x14ac:dyDescent="0.2">
      <c r="A88" s="12" t="s">
        <v>1970</v>
      </c>
      <c r="B88" s="1" t="s">
        <v>2000</v>
      </c>
      <c r="C88" s="1" t="s">
        <v>2092</v>
      </c>
      <c r="D88" s="1" t="s">
        <v>2144</v>
      </c>
      <c r="E88" s="1" t="s">
        <v>2075</v>
      </c>
      <c r="F88" s="1">
        <v>1200</v>
      </c>
      <c r="G88" s="1">
        <v>6.82</v>
      </c>
      <c r="H88" s="25">
        <v>588</v>
      </c>
      <c r="I88" s="25">
        <v>249416.28419999999</v>
      </c>
      <c r="J88" s="26">
        <v>326685.89740000002</v>
      </c>
    </row>
    <row r="89" spans="1:10" x14ac:dyDescent="0.2">
      <c r="A89" s="12" t="s">
        <v>1970</v>
      </c>
      <c r="B89" s="1" t="s">
        <v>2001</v>
      </c>
      <c r="C89" s="1" t="s">
        <v>2092</v>
      </c>
      <c r="D89" s="1" t="s">
        <v>2145</v>
      </c>
      <c r="E89" s="1" t="s">
        <v>2075</v>
      </c>
      <c r="F89" s="1">
        <v>1200</v>
      </c>
      <c r="G89" s="1">
        <v>6.82</v>
      </c>
      <c r="H89" s="25">
        <v>588</v>
      </c>
      <c r="I89" s="25">
        <v>249416.28419999999</v>
      </c>
      <c r="J89" s="26">
        <v>326685.89740000002</v>
      </c>
    </row>
    <row r="90" spans="1:10" x14ac:dyDescent="0.2">
      <c r="A90" s="12" t="s">
        <v>1970</v>
      </c>
      <c r="B90" s="1" t="s">
        <v>2002</v>
      </c>
      <c r="C90" s="1" t="s">
        <v>2092</v>
      </c>
      <c r="D90" s="1" t="s">
        <v>2146</v>
      </c>
      <c r="E90" s="1" t="s">
        <v>2075</v>
      </c>
      <c r="F90" s="1">
        <v>1200</v>
      </c>
      <c r="G90" s="1">
        <v>6.82</v>
      </c>
      <c r="H90" s="25">
        <v>588</v>
      </c>
      <c r="I90" s="25">
        <v>249416.28419999999</v>
      </c>
      <c r="J90" s="26">
        <v>326685.89740000002</v>
      </c>
    </row>
    <row r="91" spans="1:10" x14ac:dyDescent="0.2">
      <c r="A91" s="12" t="s">
        <v>1970</v>
      </c>
      <c r="B91" s="1" t="s">
        <v>2003</v>
      </c>
      <c r="C91" s="1" t="s">
        <v>2092</v>
      </c>
      <c r="D91" s="1" t="s">
        <v>2147</v>
      </c>
      <c r="E91" s="1" t="s">
        <v>2075</v>
      </c>
      <c r="F91" s="1">
        <v>1000</v>
      </c>
      <c r="G91" s="1">
        <v>5.83</v>
      </c>
      <c r="H91" s="25">
        <v>588</v>
      </c>
      <c r="I91" s="25">
        <v>249416.28419999999</v>
      </c>
      <c r="J91" s="26">
        <v>326685.89740000002</v>
      </c>
    </row>
    <row r="92" spans="1:10" x14ac:dyDescent="0.2">
      <c r="A92" s="12" t="s">
        <v>1970</v>
      </c>
      <c r="B92" s="1" t="s">
        <v>2004</v>
      </c>
      <c r="C92" s="1" t="s">
        <v>2092</v>
      </c>
      <c r="D92" s="1" t="s">
        <v>2148</v>
      </c>
      <c r="E92" s="1" t="s">
        <v>2075</v>
      </c>
      <c r="F92" s="1">
        <v>1000</v>
      </c>
      <c r="G92" s="1">
        <v>5.83</v>
      </c>
      <c r="H92" s="25">
        <v>588</v>
      </c>
      <c r="I92" s="25">
        <v>249416.28419999999</v>
      </c>
      <c r="J92" s="26">
        <v>326685.89740000002</v>
      </c>
    </row>
    <row r="93" spans="1:10" x14ac:dyDescent="0.2">
      <c r="A93" s="12" t="s">
        <v>1970</v>
      </c>
      <c r="B93" s="1" t="s">
        <v>2005</v>
      </c>
      <c r="C93" s="1" t="s">
        <v>2092</v>
      </c>
      <c r="D93" s="1" t="s">
        <v>2149</v>
      </c>
      <c r="E93" s="1" t="s">
        <v>2075</v>
      </c>
      <c r="F93" s="1">
        <v>1000</v>
      </c>
      <c r="G93" s="1">
        <v>5.83</v>
      </c>
      <c r="H93" s="25">
        <v>588</v>
      </c>
      <c r="I93" s="25">
        <v>249416.28419999999</v>
      </c>
      <c r="J93" s="26">
        <v>326685.89740000002</v>
      </c>
    </row>
    <row r="94" spans="1:10" x14ac:dyDescent="0.2">
      <c r="A94" s="12" t="s">
        <v>1970</v>
      </c>
      <c r="B94" s="1" t="s">
        <v>2006</v>
      </c>
      <c r="C94" s="1" t="s">
        <v>2092</v>
      </c>
      <c r="D94" s="1" t="s">
        <v>2150</v>
      </c>
      <c r="E94" s="1" t="s">
        <v>2075</v>
      </c>
      <c r="F94" s="1">
        <v>1200</v>
      </c>
      <c r="G94" s="1">
        <v>6.82</v>
      </c>
      <c r="H94" s="25">
        <v>588</v>
      </c>
      <c r="I94" s="25">
        <v>249416.28419999999</v>
      </c>
      <c r="J94" s="26">
        <v>326685.89740000002</v>
      </c>
    </row>
    <row r="95" spans="1:10" x14ac:dyDescent="0.2">
      <c r="A95" s="12" t="s">
        <v>1970</v>
      </c>
      <c r="B95" s="1" t="s">
        <v>2007</v>
      </c>
      <c r="C95" s="1" t="s">
        <v>2092</v>
      </c>
      <c r="D95" s="1" t="s">
        <v>2151</v>
      </c>
      <c r="E95" s="1" t="s">
        <v>2075</v>
      </c>
      <c r="F95" s="1">
        <v>1200</v>
      </c>
      <c r="G95" s="1">
        <v>6.82</v>
      </c>
      <c r="H95" s="25">
        <v>588</v>
      </c>
      <c r="I95" s="25">
        <v>249416.28419999999</v>
      </c>
      <c r="J95" s="26">
        <v>326685.89740000002</v>
      </c>
    </row>
    <row r="96" spans="1:10" x14ac:dyDescent="0.2">
      <c r="A96" s="12" t="s">
        <v>1970</v>
      </c>
      <c r="B96" s="1" t="s">
        <v>2008</v>
      </c>
      <c r="C96" s="1" t="s">
        <v>2092</v>
      </c>
      <c r="D96" s="1" t="s">
        <v>2152</v>
      </c>
      <c r="E96" s="1" t="s">
        <v>2075</v>
      </c>
      <c r="F96" s="1">
        <v>1000</v>
      </c>
      <c r="G96" s="1">
        <v>5.83</v>
      </c>
      <c r="H96" s="25">
        <v>588</v>
      </c>
      <c r="I96" s="25">
        <v>249416.28419999999</v>
      </c>
      <c r="J96" s="26">
        <v>326685.89740000002</v>
      </c>
    </row>
    <row r="97" spans="1:10" x14ac:dyDescent="0.2">
      <c r="A97" s="12" t="s">
        <v>1970</v>
      </c>
      <c r="B97" s="1" t="s">
        <v>2009</v>
      </c>
      <c r="C97" s="1" t="s">
        <v>2092</v>
      </c>
      <c r="D97" s="1" t="s">
        <v>2153</v>
      </c>
      <c r="E97" s="1" t="s">
        <v>2075</v>
      </c>
      <c r="F97" s="1">
        <v>1000</v>
      </c>
      <c r="G97" s="1">
        <v>5.83</v>
      </c>
      <c r="H97" s="25">
        <v>588</v>
      </c>
      <c r="I97" s="25">
        <v>249416.28419999999</v>
      </c>
      <c r="J97" s="26">
        <v>326685.89740000002</v>
      </c>
    </row>
    <row r="98" spans="1:10" x14ac:dyDescent="0.2">
      <c r="A98" s="12" t="s">
        <v>1970</v>
      </c>
      <c r="B98" s="1" t="s">
        <v>2010</v>
      </c>
      <c r="C98" s="1" t="s">
        <v>2092</v>
      </c>
      <c r="D98" s="1" t="s">
        <v>2154</v>
      </c>
      <c r="E98" s="1" t="s">
        <v>2075</v>
      </c>
      <c r="F98" s="1">
        <v>1200</v>
      </c>
      <c r="G98" s="1">
        <v>6.82</v>
      </c>
      <c r="H98" s="25">
        <v>588</v>
      </c>
      <c r="I98" s="25">
        <v>249416.28419999999</v>
      </c>
      <c r="J98" s="26">
        <v>326685.89740000002</v>
      </c>
    </row>
    <row r="99" spans="1:10" x14ac:dyDescent="0.2">
      <c r="A99" s="12" t="s">
        <v>1970</v>
      </c>
      <c r="B99" s="1" t="s">
        <v>2099</v>
      </c>
      <c r="C99" s="1" t="s">
        <v>2092</v>
      </c>
      <c r="D99" s="1" t="s">
        <v>2747</v>
      </c>
      <c r="E99" s="1" t="s">
        <v>2075</v>
      </c>
      <c r="F99" s="1">
        <v>1200</v>
      </c>
      <c r="G99" s="1">
        <v>6.82</v>
      </c>
      <c r="H99" s="25">
        <v>588</v>
      </c>
      <c r="I99" s="25">
        <v>249416.28419999999</v>
      </c>
      <c r="J99" s="26">
        <v>326685.89740000002</v>
      </c>
    </row>
    <row r="100" spans="1:10" x14ac:dyDescent="0.2">
      <c r="A100" s="12" t="s">
        <v>1970</v>
      </c>
      <c r="B100" s="1" t="s">
        <v>2100</v>
      </c>
      <c r="C100" s="1" t="s">
        <v>2092</v>
      </c>
      <c r="D100" s="1" t="s">
        <v>2748</v>
      </c>
      <c r="E100" s="1" t="s">
        <v>2075</v>
      </c>
      <c r="F100" s="1">
        <v>1000</v>
      </c>
      <c r="G100" s="1">
        <v>5.83</v>
      </c>
      <c r="H100" s="25">
        <v>588</v>
      </c>
      <c r="I100" s="25">
        <v>249416.28419999999</v>
      </c>
      <c r="J100" s="26">
        <v>326685.89740000002</v>
      </c>
    </row>
    <row r="101" spans="1:10" x14ac:dyDescent="0.2">
      <c r="A101" s="12" t="s">
        <v>1970</v>
      </c>
      <c r="B101" s="1" t="s">
        <v>2111</v>
      </c>
      <c r="C101" s="1" t="s">
        <v>2092</v>
      </c>
      <c r="D101" s="1" t="s">
        <v>2749</v>
      </c>
      <c r="E101" s="1" t="s">
        <v>2155</v>
      </c>
      <c r="F101" s="1">
        <v>1200</v>
      </c>
      <c r="G101" s="1">
        <v>6.82</v>
      </c>
      <c r="H101" s="25">
        <v>588</v>
      </c>
      <c r="I101" s="25">
        <v>249416.28419999999</v>
      </c>
      <c r="J101" s="26">
        <v>326685.89740000002</v>
      </c>
    </row>
    <row r="102" spans="1:10" x14ac:dyDescent="0.2">
      <c r="A102" s="12" t="s">
        <v>1970</v>
      </c>
      <c r="B102" s="1" t="s">
        <v>2101</v>
      </c>
      <c r="C102" s="1" t="s">
        <v>2092</v>
      </c>
      <c r="D102" s="1" t="s">
        <v>2750</v>
      </c>
      <c r="E102" s="1" t="s">
        <v>2155</v>
      </c>
      <c r="F102" s="1">
        <v>1000</v>
      </c>
      <c r="G102" s="1">
        <v>5.83</v>
      </c>
      <c r="H102" s="25">
        <v>588</v>
      </c>
      <c r="I102" s="25">
        <v>249416.28419999999</v>
      </c>
      <c r="J102" s="26">
        <v>326685.89740000002</v>
      </c>
    </row>
    <row r="103" spans="1:10" x14ac:dyDescent="0.2">
      <c r="A103" s="12" t="s">
        <v>1970</v>
      </c>
      <c r="B103" s="1" t="s">
        <v>2102</v>
      </c>
      <c r="C103" s="1" t="s">
        <v>2092</v>
      </c>
      <c r="D103" s="1" t="s">
        <v>2751</v>
      </c>
      <c r="E103" s="1" t="s">
        <v>2075</v>
      </c>
      <c r="F103" s="1">
        <v>1200</v>
      </c>
      <c r="G103" s="1">
        <v>6.82</v>
      </c>
      <c r="H103" s="25">
        <v>588</v>
      </c>
      <c r="I103" s="25">
        <v>249416.28419999999</v>
      </c>
      <c r="J103" s="26">
        <v>326685.89740000002</v>
      </c>
    </row>
    <row r="104" spans="1:10" x14ac:dyDescent="0.2">
      <c r="A104" s="12" t="s">
        <v>1970</v>
      </c>
      <c r="B104" s="1" t="s">
        <v>2112</v>
      </c>
      <c r="C104" s="1" t="s">
        <v>2092</v>
      </c>
      <c r="D104" s="1" t="s">
        <v>2752</v>
      </c>
      <c r="E104" s="1" t="s">
        <v>2075</v>
      </c>
      <c r="F104" s="1">
        <v>1200</v>
      </c>
      <c r="G104" s="1">
        <v>6.82</v>
      </c>
      <c r="H104" s="25">
        <v>588</v>
      </c>
      <c r="I104" s="25">
        <v>249416.28419999999</v>
      </c>
      <c r="J104" s="26">
        <v>326685.89740000002</v>
      </c>
    </row>
    <row r="105" spans="1:10" x14ac:dyDescent="0.2">
      <c r="A105" s="12" t="s">
        <v>1970</v>
      </c>
      <c r="B105" s="1" t="s">
        <v>2103</v>
      </c>
      <c r="C105" s="1" t="s">
        <v>2092</v>
      </c>
      <c r="D105" s="1" t="s">
        <v>2753</v>
      </c>
      <c r="E105" s="1" t="s">
        <v>2075</v>
      </c>
      <c r="F105" s="1">
        <v>1000</v>
      </c>
      <c r="G105" s="1">
        <v>5.83</v>
      </c>
      <c r="H105" s="25">
        <v>588</v>
      </c>
      <c r="I105" s="25">
        <v>249416.28419999999</v>
      </c>
      <c r="J105" s="26">
        <v>326685.89740000002</v>
      </c>
    </row>
    <row r="106" spans="1:10" x14ac:dyDescent="0.2">
      <c r="A106" s="12" t="s">
        <v>1970</v>
      </c>
      <c r="B106" s="1" t="s">
        <v>2104</v>
      </c>
      <c r="C106" s="1" t="s">
        <v>2092</v>
      </c>
      <c r="D106" s="1" t="s">
        <v>2754</v>
      </c>
      <c r="E106" s="1" t="s">
        <v>2075</v>
      </c>
      <c r="F106" s="1">
        <v>1200</v>
      </c>
      <c r="G106" s="1">
        <v>6.82</v>
      </c>
      <c r="H106" s="25">
        <v>588</v>
      </c>
      <c r="I106" s="25">
        <v>249416.28419999999</v>
      </c>
      <c r="J106" s="26">
        <v>326685.89740000002</v>
      </c>
    </row>
    <row r="107" spans="1:10" x14ac:dyDescent="0.2">
      <c r="A107" s="12" t="s">
        <v>1970</v>
      </c>
      <c r="B107" s="1" t="s">
        <v>2105</v>
      </c>
      <c r="C107" s="1" t="s">
        <v>2092</v>
      </c>
      <c r="D107" s="1" t="s">
        <v>2755</v>
      </c>
      <c r="E107" s="1" t="s">
        <v>2155</v>
      </c>
      <c r="F107" s="1">
        <v>1200</v>
      </c>
      <c r="G107" s="1">
        <v>6.82</v>
      </c>
      <c r="H107" s="25">
        <v>588</v>
      </c>
      <c r="I107" s="25">
        <v>249416.28419999999</v>
      </c>
      <c r="J107" s="26">
        <v>326685.89740000002</v>
      </c>
    </row>
    <row r="108" spans="1:10" x14ac:dyDescent="0.2">
      <c r="A108" s="12" t="s">
        <v>1970</v>
      </c>
      <c r="B108" s="1" t="s">
        <v>2106</v>
      </c>
      <c r="C108" s="1" t="s">
        <v>2092</v>
      </c>
      <c r="D108" s="1" t="s">
        <v>2756</v>
      </c>
      <c r="E108" s="1" t="s">
        <v>2075</v>
      </c>
      <c r="F108" s="1">
        <v>1000</v>
      </c>
      <c r="G108" s="1">
        <v>5.83</v>
      </c>
      <c r="H108" s="25">
        <v>588</v>
      </c>
      <c r="I108" s="25">
        <v>249416.28419999999</v>
      </c>
      <c r="J108" s="26">
        <v>326685.89740000002</v>
      </c>
    </row>
    <row r="109" spans="1:10" x14ac:dyDescent="0.2">
      <c r="A109" s="12" t="s">
        <v>1970</v>
      </c>
      <c r="B109" s="1" t="s">
        <v>2113</v>
      </c>
      <c r="C109" s="1" t="s">
        <v>2092</v>
      </c>
      <c r="D109" s="1" t="s">
        <v>2757</v>
      </c>
      <c r="E109" s="1" t="s">
        <v>2075</v>
      </c>
      <c r="F109" s="1">
        <v>1000</v>
      </c>
      <c r="G109" s="1">
        <v>5.83</v>
      </c>
      <c r="H109" s="25">
        <v>588</v>
      </c>
      <c r="I109" s="25">
        <v>249416.28419999999</v>
      </c>
      <c r="J109" s="26">
        <v>326685.89740000002</v>
      </c>
    </row>
    <row r="110" spans="1:10" x14ac:dyDescent="0.2">
      <c r="A110" s="12" t="s">
        <v>1970</v>
      </c>
      <c r="B110" s="1" t="s">
        <v>2107</v>
      </c>
      <c r="C110" s="1" t="s">
        <v>2092</v>
      </c>
      <c r="D110" s="1" t="s">
        <v>2758</v>
      </c>
      <c r="E110" s="1" t="s">
        <v>2155</v>
      </c>
      <c r="F110" s="1">
        <v>1200</v>
      </c>
      <c r="G110" s="1">
        <v>6.82</v>
      </c>
      <c r="H110" s="25">
        <v>588</v>
      </c>
      <c r="I110" s="25">
        <v>249416.28419999999</v>
      </c>
      <c r="J110" s="26">
        <v>326685.89740000002</v>
      </c>
    </row>
    <row r="111" spans="1:10" x14ac:dyDescent="0.2">
      <c r="A111" s="12" t="s">
        <v>1970</v>
      </c>
      <c r="B111" s="1" t="s">
        <v>2114</v>
      </c>
      <c r="C111" s="1" t="s">
        <v>2092</v>
      </c>
      <c r="D111" s="1" t="s">
        <v>2759</v>
      </c>
      <c r="E111" s="1" t="s">
        <v>2075</v>
      </c>
      <c r="F111" s="1">
        <v>1200</v>
      </c>
      <c r="G111" s="1">
        <v>6.82</v>
      </c>
      <c r="H111" s="25">
        <v>588</v>
      </c>
      <c r="I111" s="25">
        <v>249416.28419999999</v>
      </c>
      <c r="J111" s="26">
        <v>326685.89740000002</v>
      </c>
    </row>
    <row r="112" spans="1:10" x14ac:dyDescent="0.2">
      <c r="A112" s="12" t="s">
        <v>1970</v>
      </c>
      <c r="B112" s="1" t="s">
        <v>2108</v>
      </c>
      <c r="C112" s="1" t="s">
        <v>2092</v>
      </c>
      <c r="D112" s="1" t="s">
        <v>2760</v>
      </c>
      <c r="E112" s="1" t="s">
        <v>2075</v>
      </c>
      <c r="F112" s="1">
        <v>1000</v>
      </c>
      <c r="G112" s="1">
        <v>5.83</v>
      </c>
      <c r="H112" s="25">
        <v>588</v>
      </c>
      <c r="I112" s="25">
        <v>249416.28419999999</v>
      </c>
      <c r="J112" s="26">
        <v>326685.89740000002</v>
      </c>
    </row>
    <row r="113" spans="1:10" x14ac:dyDescent="0.2">
      <c r="A113" s="12" t="s">
        <v>1970</v>
      </c>
      <c r="B113" s="1" t="s">
        <v>2115</v>
      </c>
      <c r="C113" s="1" t="s">
        <v>2092</v>
      </c>
      <c r="D113" s="1" t="s">
        <v>2761</v>
      </c>
      <c r="E113" s="1" t="s">
        <v>2075</v>
      </c>
      <c r="F113" s="1">
        <v>1000</v>
      </c>
      <c r="G113" s="1">
        <v>5.83</v>
      </c>
      <c r="H113" s="25">
        <v>588</v>
      </c>
      <c r="I113" s="25">
        <v>249416.28419999999</v>
      </c>
      <c r="J113" s="26">
        <v>326685.89740000002</v>
      </c>
    </row>
    <row r="114" spans="1:10" x14ac:dyDescent="0.2">
      <c r="A114" s="12" t="s">
        <v>1970</v>
      </c>
      <c r="B114" s="1" t="s">
        <v>2109</v>
      </c>
      <c r="C114" s="1" t="s">
        <v>2092</v>
      </c>
      <c r="D114" s="1" t="s">
        <v>2762</v>
      </c>
      <c r="E114" s="1" t="s">
        <v>2155</v>
      </c>
      <c r="F114" s="1">
        <v>1000</v>
      </c>
      <c r="G114" s="1">
        <v>5.83</v>
      </c>
      <c r="H114" s="25">
        <v>588</v>
      </c>
      <c r="I114" s="25">
        <v>249416.28419999999</v>
      </c>
      <c r="J114" s="26">
        <v>326685.89740000002</v>
      </c>
    </row>
    <row r="115" spans="1:10" ht="17" thickBot="1" x14ac:dyDescent="0.25">
      <c r="A115" s="13" t="s">
        <v>1970</v>
      </c>
      <c r="B115" s="10" t="s">
        <v>2110</v>
      </c>
      <c r="C115" s="10" t="s">
        <v>2092</v>
      </c>
      <c r="D115" s="10" t="s">
        <v>2763</v>
      </c>
      <c r="E115" s="10" t="s">
        <v>2075</v>
      </c>
      <c r="F115" s="10">
        <v>1200</v>
      </c>
      <c r="G115" s="10">
        <v>6.82</v>
      </c>
      <c r="H115" s="25">
        <v>588</v>
      </c>
      <c r="I115" s="25">
        <v>249416.28419999999</v>
      </c>
      <c r="J115" s="26">
        <v>326685.89740000002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1D0B-55B1-C74C-8654-4C9CA5447F98}">
  <sheetPr codeName="Sheet4"/>
  <dimension ref="A1:R58"/>
  <sheetViews>
    <sheetView workbookViewId="0">
      <selection activeCell="B11" sqref="B11"/>
    </sheetView>
  </sheetViews>
  <sheetFormatPr baseColWidth="10" defaultRowHeight="16" x14ac:dyDescent="0.2"/>
  <cols>
    <col min="1" max="1" width="12" bestFit="1" customWidth="1"/>
    <col min="2" max="2" width="118.83203125" bestFit="1" customWidth="1"/>
    <col min="3" max="18" width="6.1640625" bestFit="1" customWidth="1"/>
  </cols>
  <sheetData>
    <row r="1" spans="1:18" x14ac:dyDescent="0.2">
      <c r="A1" s="1" t="s">
        <v>2720</v>
      </c>
      <c r="B1" s="1" t="s">
        <v>2721</v>
      </c>
      <c r="C1" s="27" t="s">
        <v>2722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2">
      <c r="A2" s="2" t="s">
        <v>2034</v>
      </c>
      <c r="B2" s="2" t="s">
        <v>2601</v>
      </c>
      <c r="C2" s="23">
        <v>71</v>
      </c>
      <c r="D2" s="23">
        <v>87</v>
      </c>
      <c r="E2" s="23">
        <v>88</v>
      </c>
      <c r="F2" s="23">
        <v>131</v>
      </c>
      <c r="G2" s="23">
        <v>288</v>
      </c>
      <c r="H2" s="23">
        <v>315</v>
      </c>
      <c r="I2" s="23">
        <v>325</v>
      </c>
      <c r="J2" s="23">
        <v>372</v>
      </c>
      <c r="K2" s="23">
        <v>503</v>
      </c>
      <c r="L2" s="23">
        <v>532</v>
      </c>
      <c r="M2" s="23"/>
      <c r="N2" s="23"/>
      <c r="O2" s="23"/>
      <c r="P2" s="23"/>
      <c r="Q2" s="23"/>
      <c r="R2" s="23"/>
    </row>
    <row r="3" spans="1:18" x14ac:dyDescent="0.2">
      <c r="A3" s="2" t="s">
        <v>2035</v>
      </c>
      <c r="B3" s="2" t="s">
        <v>2601</v>
      </c>
      <c r="C3" s="23">
        <v>149</v>
      </c>
      <c r="D3" s="23">
        <v>226</v>
      </c>
      <c r="E3" s="23">
        <v>254</v>
      </c>
      <c r="F3" s="23">
        <v>261</v>
      </c>
      <c r="G3" s="23">
        <v>284</v>
      </c>
      <c r="H3" s="23">
        <v>297</v>
      </c>
      <c r="I3" s="23">
        <v>328</v>
      </c>
      <c r="J3" s="23">
        <v>349</v>
      </c>
      <c r="K3" s="23">
        <v>365</v>
      </c>
      <c r="L3" s="23">
        <v>423</v>
      </c>
      <c r="M3" s="23">
        <v>457</v>
      </c>
      <c r="N3" s="23">
        <v>463</v>
      </c>
      <c r="O3" s="23">
        <v>498</v>
      </c>
      <c r="P3" s="23">
        <v>571</v>
      </c>
      <c r="Q3" s="23">
        <v>577</v>
      </c>
      <c r="R3" s="23">
        <v>592</v>
      </c>
    </row>
    <row r="4" spans="1:18" x14ac:dyDescent="0.2">
      <c r="A4" s="2" t="s">
        <v>2036</v>
      </c>
      <c r="B4" s="2" t="s">
        <v>2601</v>
      </c>
      <c r="C4" s="23">
        <v>80</v>
      </c>
      <c r="D4" s="23">
        <v>110</v>
      </c>
      <c r="E4" s="23">
        <v>112</v>
      </c>
      <c r="F4" s="23">
        <v>166</v>
      </c>
      <c r="G4" s="23">
        <v>170</v>
      </c>
      <c r="H4" s="23">
        <v>178</v>
      </c>
      <c r="I4" s="23">
        <v>201</v>
      </c>
      <c r="J4" s="23">
        <v>240</v>
      </c>
      <c r="K4" s="23">
        <v>302</v>
      </c>
      <c r="L4" s="23">
        <v>390</v>
      </c>
      <c r="M4" s="23">
        <v>506</v>
      </c>
      <c r="N4" s="23">
        <v>528</v>
      </c>
      <c r="O4" s="23">
        <v>582</v>
      </c>
      <c r="P4" s="23"/>
      <c r="Q4" s="23"/>
      <c r="R4" s="23"/>
    </row>
    <row r="5" spans="1:18" x14ac:dyDescent="0.2">
      <c r="A5" s="2" t="s">
        <v>2037</v>
      </c>
      <c r="B5" s="2" t="s">
        <v>2601</v>
      </c>
      <c r="C5" s="23">
        <v>212</v>
      </c>
      <c r="D5" s="23">
        <v>245</v>
      </c>
      <c r="E5" s="23">
        <v>256</v>
      </c>
      <c r="F5" s="23">
        <v>321</v>
      </c>
      <c r="G5" s="23">
        <v>355</v>
      </c>
      <c r="H5" s="23">
        <v>367</v>
      </c>
      <c r="I5" s="23">
        <v>444</v>
      </c>
      <c r="J5" s="23">
        <v>454</v>
      </c>
      <c r="K5" s="23">
        <v>470</v>
      </c>
      <c r="L5" s="23">
        <v>500</v>
      </c>
      <c r="M5" s="23">
        <v>507</v>
      </c>
      <c r="N5" s="23">
        <v>518</v>
      </c>
      <c r="O5" s="23"/>
      <c r="P5" s="23"/>
      <c r="Q5" s="23"/>
      <c r="R5" s="23"/>
    </row>
    <row r="6" spans="1:18" x14ac:dyDescent="0.2">
      <c r="A6" s="2" t="s">
        <v>2038</v>
      </c>
      <c r="B6" s="2" t="s">
        <v>2601</v>
      </c>
      <c r="C6" s="23">
        <v>63</v>
      </c>
      <c r="D6" s="23">
        <v>262</v>
      </c>
      <c r="E6" s="23">
        <v>268</v>
      </c>
      <c r="F6" s="23">
        <v>279</v>
      </c>
      <c r="G6" s="23">
        <v>313</v>
      </c>
      <c r="H6" s="23">
        <v>368</v>
      </c>
      <c r="I6" s="23">
        <v>383</v>
      </c>
      <c r="J6" s="23">
        <v>402</v>
      </c>
      <c r="K6" s="23">
        <v>428</v>
      </c>
      <c r="L6" s="23">
        <v>441</v>
      </c>
      <c r="M6" s="23">
        <v>479</v>
      </c>
      <c r="N6" s="23">
        <v>510</v>
      </c>
      <c r="O6" s="23">
        <v>556</v>
      </c>
      <c r="P6" s="23">
        <v>583</v>
      </c>
      <c r="Q6" s="23"/>
      <c r="R6" s="23"/>
    </row>
    <row r="7" spans="1:18" x14ac:dyDescent="0.2">
      <c r="A7" s="2" t="s">
        <v>2039</v>
      </c>
      <c r="B7" s="2" t="s">
        <v>2601</v>
      </c>
      <c r="C7" s="23">
        <v>52</v>
      </c>
      <c r="D7" s="23">
        <v>73</v>
      </c>
      <c r="E7" s="23">
        <v>96</v>
      </c>
      <c r="F7" s="23">
        <v>104</v>
      </c>
      <c r="G7" s="23">
        <v>142</v>
      </c>
      <c r="H7" s="23">
        <v>152</v>
      </c>
      <c r="I7" s="23">
        <v>248</v>
      </c>
      <c r="J7" s="23">
        <v>314</v>
      </c>
      <c r="K7" s="23">
        <v>351</v>
      </c>
      <c r="L7" s="23">
        <v>417</v>
      </c>
      <c r="M7" s="23">
        <v>435</v>
      </c>
      <c r="N7" s="23">
        <v>436</v>
      </c>
      <c r="O7" s="23">
        <v>525</v>
      </c>
      <c r="P7" s="23">
        <v>587</v>
      </c>
      <c r="Q7" s="23"/>
      <c r="R7" s="23"/>
    </row>
    <row r="8" spans="1:18" x14ac:dyDescent="0.2">
      <c r="A8" s="2" t="s">
        <v>2040</v>
      </c>
      <c r="B8" s="2" t="s">
        <v>2601</v>
      </c>
      <c r="C8" s="23">
        <v>62</v>
      </c>
      <c r="D8" s="23">
        <v>164</v>
      </c>
      <c r="E8" s="23">
        <v>177</v>
      </c>
      <c r="F8" s="23">
        <v>249</v>
      </c>
      <c r="G8" s="23">
        <v>269</v>
      </c>
      <c r="H8" s="23">
        <v>352</v>
      </c>
      <c r="I8" s="23">
        <v>424</v>
      </c>
      <c r="J8" s="23">
        <v>461</v>
      </c>
      <c r="K8" s="23">
        <v>574</v>
      </c>
      <c r="L8" s="23"/>
      <c r="M8" s="23"/>
      <c r="N8" s="23"/>
      <c r="O8" s="23"/>
      <c r="P8" s="23"/>
      <c r="Q8" s="23"/>
      <c r="R8" s="23"/>
    </row>
    <row r="9" spans="1:18" x14ac:dyDescent="0.2">
      <c r="A9" s="2" t="s">
        <v>2041</v>
      </c>
      <c r="B9" s="2" t="s">
        <v>2601</v>
      </c>
      <c r="C9" s="23">
        <v>91</v>
      </c>
      <c r="D9" s="23">
        <v>239</v>
      </c>
      <c r="E9" s="23">
        <v>246</v>
      </c>
      <c r="F9" s="23">
        <v>399</v>
      </c>
      <c r="G9" s="23">
        <v>408</v>
      </c>
      <c r="H9" s="23">
        <v>516</v>
      </c>
      <c r="I9" s="23">
        <v>521</v>
      </c>
      <c r="J9" s="23">
        <v>522</v>
      </c>
      <c r="K9" s="23">
        <v>529</v>
      </c>
      <c r="L9" s="23">
        <v>539</v>
      </c>
      <c r="M9" s="23">
        <v>589</v>
      </c>
      <c r="N9" s="23"/>
      <c r="O9" s="23"/>
      <c r="P9" s="23"/>
      <c r="Q9" s="23"/>
      <c r="R9" s="23"/>
    </row>
    <row r="10" spans="1:18" x14ac:dyDescent="0.2">
      <c r="A10" s="2" t="s">
        <v>2042</v>
      </c>
      <c r="B10" s="2" t="s">
        <v>2601</v>
      </c>
      <c r="C10" s="23">
        <v>75</v>
      </c>
      <c r="D10" s="23">
        <v>94</v>
      </c>
      <c r="E10" s="23">
        <v>144</v>
      </c>
      <c r="F10" s="23">
        <v>176</v>
      </c>
      <c r="G10" s="23">
        <v>216</v>
      </c>
      <c r="H10" s="23">
        <v>241</v>
      </c>
      <c r="I10" s="23">
        <v>274</v>
      </c>
      <c r="J10" s="23">
        <v>312</v>
      </c>
      <c r="K10" s="23">
        <v>333</v>
      </c>
      <c r="L10" s="23">
        <v>384</v>
      </c>
      <c r="M10" s="23">
        <v>418</v>
      </c>
      <c r="N10" s="23">
        <v>557</v>
      </c>
      <c r="O10" s="23">
        <v>586</v>
      </c>
      <c r="P10" s="23">
        <v>590</v>
      </c>
      <c r="Q10" s="23">
        <v>596</v>
      </c>
      <c r="R10" s="23"/>
    </row>
    <row r="11" spans="1:18" x14ac:dyDescent="0.2">
      <c r="A11" s="2" t="s">
        <v>2043</v>
      </c>
      <c r="B11" s="2" t="s">
        <v>2601</v>
      </c>
      <c r="C11" s="23">
        <v>99</v>
      </c>
      <c r="D11" s="23">
        <v>134</v>
      </c>
      <c r="E11" s="23">
        <v>231</v>
      </c>
      <c r="F11" s="23">
        <v>237</v>
      </c>
      <c r="G11" s="23">
        <v>258</v>
      </c>
      <c r="H11" s="23">
        <v>263</v>
      </c>
      <c r="I11" s="23">
        <v>293</v>
      </c>
      <c r="J11" s="23">
        <v>317</v>
      </c>
      <c r="K11" s="23">
        <v>453</v>
      </c>
      <c r="L11" s="23">
        <v>530</v>
      </c>
      <c r="M11" s="23"/>
      <c r="N11" s="23"/>
      <c r="O11" s="23"/>
      <c r="P11" s="23"/>
      <c r="Q11" s="23"/>
      <c r="R11" s="23"/>
    </row>
    <row r="12" spans="1:18" x14ac:dyDescent="0.2">
      <c r="A12" s="2" t="s">
        <v>2044</v>
      </c>
      <c r="B12" s="2" t="s">
        <v>2601</v>
      </c>
      <c r="C12" s="23">
        <v>42</v>
      </c>
      <c r="D12" s="23">
        <v>43</v>
      </c>
      <c r="E12" s="23">
        <v>55</v>
      </c>
      <c r="F12" s="23">
        <v>68</v>
      </c>
      <c r="G12" s="23">
        <v>69</v>
      </c>
      <c r="H12" s="23">
        <v>86</v>
      </c>
      <c r="I12" s="23">
        <v>93</v>
      </c>
      <c r="J12" s="23">
        <v>126</v>
      </c>
      <c r="K12" s="23">
        <v>150</v>
      </c>
      <c r="L12" s="23">
        <v>157</v>
      </c>
      <c r="M12" s="23">
        <v>186</v>
      </c>
      <c r="N12" s="23">
        <v>223</v>
      </c>
      <c r="O12" s="23">
        <v>566</v>
      </c>
      <c r="P12" s="23">
        <v>599</v>
      </c>
      <c r="Q12" s="23"/>
      <c r="R12" s="23"/>
    </row>
    <row r="13" spans="1:18" x14ac:dyDescent="0.2">
      <c r="A13" s="2" t="s">
        <v>2045</v>
      </c>
      <c r="B13" s="2" t="s">
        <v>2601</v>
      </c>
      <c r="C13" s="23">
        <v>7</v>
      </c>
      <c r="D13" s="23">
        <v>12</v>
      </c>
      <c r="E13" s="23">
        <v>50</v>
      </c>
      <c r="F13" s="23">
        <v>125</v>
      </c>
      <c r="G13" s="23">
        <v>137</v>
      </c>
      <c r="H13" s="23">
        <v>224</v>
      </c>
      <c r="I13" s="23">
        <v>526</v>
      </c>
      <c r="J13" s="23">
        <v>545</v>
      </c>
      <c r="K13" s="23">
        <v>211</v>
      </c>
      <c r="L13" s="23"/>
      <c r="M13" s="23"/>
      <c r="N13" s="23"/>
      <c r="O13" s="23"/>
      <c r="P13" s="23"/>
      <c r="Q13" s="23"/>
      <c r="R13" s="23"/>
    </row>
    <row r="14" spans="1:18" x14ac:dyDescent="0.2">
      <c r="A14" s="2" t="s">
        <v>2046</v>
      </c>
      <c r="B14" s="2" t="s">
        <v>2601</v>
      </c>
      <c r="C14" s="23">
        <v>20</v>
      </c>
      <c r="D14" s="23">
        <v>202</v>
      </c>
      <c r="E14" s="23">
        <v>206</v>
      </c>
      <c r="F14" s="23">
        <v>236</v>
      </c>
      <c r="G14" s="23">
        <v>250</v>
      </c>
      <c r="H14" s="23">
        <v>257</v>
      </c>
      <c r="I14" s="23">
        <v>320</v>
      </c>
      <c r="J14" s="23">
        <v>323</v>
      </c>
      <c r="K14" s="23">
        <v>409</v>
      </c>
      <c r="L14" s="23"/>
      <c r="M14" s="23"/>
      <c r="N14" s="23"/>
      <c r="O14" s="23"/>
      <c r="P14" s="23"/>
      <c r="Q14" s="23"/>
      <c r="R14" s="23"/>
    </row>
    <row r="15" spans="1:18" x14ac:dyDescent="0.2">
      <c r="A15" s="2" t="s">
        <v>2047</v>
      </c>
      <c r="B15" s="2" t="s">
        <v>2601</v>
      </c>
      <c r="C15" s="23">
        <v>49</v>
      </c>
      <c r="D15" s="23">
        <v>105</v>
      </c>
      <c r="E15" s="23">
        <v>124</v>
      </c>
      <c r="F15" s="23">
        <v>146</v>
      </c>
      <c r="G15" s="23">
        <v>207</v>
      </c>
      <c r="H15" s="23">
        <v>213</v>
      </c>
      <c r="I15" s="23">
        <v>247</v>
      </c>
      <c r="J15" s="23">
        <v>273</v>
      </c>
      <c r="K15" s="23">
        <v>598</v>
      </c>
      <c r="L15" s="23"/>
      <c r="M15" s="23"/>
      <c r="N15" s="23"/>
      <c r="O15" s="23"/>
      <c r="P15" s="23"/>
      <c r="Q15" s="23"/>
      <c r="R15" s="23"/>
    </row>
    <row r="16" spans="1:18" x14ac:dyDescent="0.2">
      <c r="A16" s="2" t="s">
        <v>2048</v>
      </c>
      <c r="B16" s="2" t="s">
        <v>2601</v>
      </c>
      <c r="C16" s="23">
        <v>21</v>
      </c>
      <c r="D16" s="23">
        <v>31</v>
      </c>
      <c r="E16" s="23">
        <v>53</v>
      </c>
      <c r="F16" s="23">
        <v>123</v>
      </c>
      <c r="G16" s="23">
        <v>175</v>
      </c>
      <c r="H16" s="23">
        <v>183</v>
      </c>
      <c r="I16" s="23">
        <v>199</v>
      </c>
      <c r="J16" s="23">
        <v>265</v>
      </c>
      <c r="K16" s="23">
        <v>299</v>
      </c>
      <c r="L16" s="23">
        <v>373</v>
      </c>
      <c r="M16" s="23">
        <v>439</v>
      </c>
      <c r="N16" s="23">
        <v>607</v>
      </c>
      <c r="O16" s="23"/>
      <c r="P16" s="23"/>
      <c r="Q16" s="23"/>
      <c r="R16" s="23"/>
    </row>
    <row r="17" spans="1:18" x14ac:dyDescent="0.2">
      <c r="A17" s="2" t="s">
        <v>2049</v>
      </c>
      <c r="B17" s="2" t="s">
        <v>2601</v>
      </c>
      <c r="C17" s="23">
        <v>41</v>
      </c>
      <c r="D17" s="23">
        <v>58</v>
      </c>
      <c r="E17" s="23">
        <v>67</v>
      </c>
      <c r="F17" s="23">
        <v>89</v>
      </c>
      <c r="G17" s="23">
        <v>122</v>
      </c>
      <c r="H17" s="23">
        <v>127</v>
      </c>
      <c r="I17" s="23">
        <v>147</v>
      </c>
      <c r="J17" s="23">
        <v>173</v>
      </c>
      <c r="K17" s="23">
        <v>238</v>
      </c>
      <c r="L17" s="23">
        <v>259</v>
      </c>
      <c r="M17" s="23">
        <v>272</v>
      </c>
      <c r="N17" s="23">
        <v>275</v>
      </c>
      <c r="O17" s="23">
        <v>535</v>
      </c>
      <c r="P17" s="23">
        <v>550</v>
      </c>
      <c r="Q17" s="23">
        <v>567</v>
      </c>
      <c r="R17" s="23">
        <v>605</v>
      </c>
    </row>
    <row r="18" spans="1:18" x14ac:dyDescent="0.2">
      <c r="A18" s="2" t="s">
        <v>2050</v>
      </c>
      <c r="B18" s="2" t="s">
        <v>2601</v>
      </c>
      <c r="C18" s="23">
        <v>48</v>
      </c>
      <c r="D18" s="23">
        <v>118</v>
      </c>
      <c r="E18" s="23">
        <v>130</v>
      </c>
      <c r="F18" s="23">
        <v>143</v>
      </c>
      <c r="G18" s="23">
        <v>156</v>
      </c>
      <c r="H18" s="23">
        <v>191</v>
      </c>
      <c r="I18" s="23">
        <v>215</v>
      </c>
      <c r="J18" s="23">
        <v>230</v>
      </c>
      <c r="K18" s="23">
        <v>281</v>
      </c>
      <c r="L18" s="23">
        <v>296</v>
      </c>
      <c r="M18" s="23">
        <v>358</v>
      </c>
      <c r="N18" s="23">
        <v>385</v>
      </c>
      <c r="O18" s="23">
        <v>398</v>
      </c>
      <c r="P18" s="23"/>
      <c r="Q18" s="23"/>
      <c r="R18" s="23"/>
    </row>
    <row r="19" spans="1:18" x14ac:dyDescent="0.2">
      <c r="A19" s="2" t="s">
        <v>2051</v>
      </c>
      <c r="B19" s="2" t="s">
        <v>2601</v>
      </c>
      <c r="C19" s="23">
        <v>6</v>
      </c>
      <c r="D19" s="23">
        <v>8</v>
      </c>
      <c r="E19" s="23">
        <v>19</v>
      </c>
      <c r="F19" s="23">
        <v>25</v>
      </c>
      <c r="G19" s="23">
        <v>40</v>
      </c>
      <c r="H19" s="23">
        <v>107</v>
      </c>
      <c r="I19" s="23">
        <v>109</v>
      </c>
      <c r="J19" s="23">
        <v>182</v>
      </c>
      <c r="K19" s="23">
        <v>234</v>
      </c>
      <c r="L19" s="23">
        <v>306</v>
      </c>
      <c r="M19" s="23">
        <v>548</v>
      </c>
      <c r="N19" s="23">
        <v>603</v>
      </c>
      <c r="O19" s="23"/>
      <c r="P19" s="23"/>
      <c r="Q19" s="23"/>
      <c r="R19" s="23"/>
    </row>
    <row r="20" spans="1:18" x14ac:dyDescent="0.2">
      <c r="A20" s="2" t="s">
        <v>2052</v>
      </c>
      <c r="B20" s="2" t="s">
        <v>2601</v>
      </c>
      <c r="C20" s="23">
        <v>2</v>
      </c>
      <c r="D20" s="23">
        <v>16</v>
      </c>
      <c r="E20" s="23">
        <v>72</v>
      </c>
      <c r="F20" s="23">
        <v>85</v>
      </c>
      <c r="G20" s="23">
        <v>120</v>
      </c>
      <c r="H20" s="23">
        <v>192</v>
      </c>
      <c r="I20" s="23">
        <v>218</v>
      </c>
      <c r="J20" s="23">
        <v>331</v>
      </c>
      <c r="K20" s="23">
        <v>334</v>
      </c>
      <c r="L20" s="23">
        <v>359</v>
      </c>
      <c r="M20" s="23">
        <v>481</v>
      </c>
      <c r="N20" s="23"/>
      <c r="O20" s="23"/>
      <c r="P20" s="23"/>
      <c r="Q20" s="23"/>
      <c r="R20" s="23"/>
    </row>
    <row r="21" spans="1:18" x14ac:dyDescent="0.2">
      <c r="A21" s="2" t="s">
        <v>2053</v>
      </c>
      <c r="B21" s="2" t="s">
        <v>2601</v>
      </c>
      <c r="C21" s="23">
        <v>24</v>
      </c>
      <c r="D21" s="23">
        <v>32</v>
      </c>
      <c r="E21" s="23">
        <v>57</v>
      </c>
      <c r="F21" s="23">
        <v>98</v>
      </c>
      <c r="G21" s="23">
        <v>108</v>
      </c>
      <c r="H21" s="23">
        <v>136</v>
      </c>
      <c r="I21" s="23">
        <v>167</v>
      </c>
      <c r="J21" s="23">
        <v>172</v>
      </c>
      <c r="K21" s="23">
        <v>208</v>
      </c>
      <c r="L21" s="23">
        <v>276</v>
      </c>
      <c r="M21" s="23">
        <v>346</v>
      </c>
      <c r="N21" s="23">
        <v>406</v>
      </c>
      <c r="O21" s="23">
        <v>414</v>
      </c>
      <c r="P21" s="23">
        <v>438</v>
      </c>
      <c r="Q21" s="23">
        <v>585</v>
      </c>
      <c r="R21" s="23"/>
    </row>
    <row r="22" spans="1:18" x14ac:dyDescent="0.2">
      <c r="A22" s="2" t="s">
        <v>2054</v>
      </c>
      <c r="B22" s="2" t="s">
        <v>2601</v>
      </c>
      <c r="C22" s="23">
        <v>23</v>
      </c>
      <c r="D22" s="23">
        <v>56</v>
      </c>
      <c r="E22" s="23">
        <v>97</v>
      </c>
      <c r="F22" s="23">
        <v>119</v>
      </c>
      <c r="G22" s="23">
        <v>193</v>
      </c>
      <c r="H22" s="23">
        <v>291</v>
      </c>
      <c r="I22" s="23">
        <v>295</v>
      </c>
      <c r="J22" s="23">
        <v>324</v>
      </c>
      <c r="K22" s="23">
        <v>392</v>
      </c>
      <c r="L22" s="23">
        <v>578</v>
      </c>
      <c r="M22" s="23"/>
      <c r="N22" s="23"/>
      <c r="O22" s="23"/>
      <c r="P22" s="23"/>
      <c r="Q22" s="23"/>
      <c r="R22" s="23"/>
    </row>
    <row r="23" spans="1:18" x14ac:dyDescent="0.2">
      <c r="A23" s="2" t="s">
        <v>2055</v>
      </c>
      <c r="B23" s="2" t="s">
        <v>2601</v>
      </c>
      <c r="C23" s="23">
        <v>3</v>
      </c>
      <c r="D23" s="23">
        <v>4</v>
      </c>
      <c r="E23" s="23">
        <v>11</v>
      </c>
      <c r="F23" s="23">
        <v>13</v>
      </c>
      <c r="G23" s="23">
        <v>39</v>
      </c>
      <c r="H23" s="23">
        <v>59</v>
      </c>
      <c r="I23" s="23">
        <v>60</v>
      </c>
      <c r="J23" s="23">
        <v>114</v>
      </c>
      <c r="K23" s="23">
        <v>129</v>
      </c>
      <c r="L23" s="23">
        <v>189</v>
      </c>
      <c r="M23" s="23">
        <v>198</v>
      </c>
      <c r="N23" s="23">
        <v>222</v>
      </c>
      <c r="O23" s="23">
        <v>580</v>
      </c>
      <c r="P23" s="23"/>
      <c r="Q23" s="23"/>
      <c r="R23" s="23"/>
    </row>
    <row r="24" spans="1:18" x14ac:dyDescent="0.2">
      <c r="A24" s="2" t="s">
        <v>2056</v>
      </c>
      <c r="B24" s="2" t="s">
        <v>2601</v>
      </c>
      <c r="C24" s="23">
        <v>18</v>
      </c>
      <c r="D24" s="23">
        <v>28</v>
      </c>
      <c r="E24" s="23">
        <v>30</v>
      </c>
      <c r="F24" s="23">
        <v>111</v>
      </c>
      <c r="G24" s="23">
        <v>113</v>
      </c>
      <c r="H24" s="23">
        <v>133</v>
      </c>
      <c r="I24" s="23">
        <v>138</v>
      </c>
      <c r="J24" s="23">
        <v>161</v>
      </c>
      <c r="K24" s="23">
        <v>169</v>
      </c>
      <c r="L24" s="23">
        <v>171</v>
      </c>
      <c r="M24" s="23">
        <v>267</v>
      </c>
      <c r="N24" s="23">
        <v>270</v>
      </c>
      <c r="O24" s="23">
        <v>398</v>
      </c>
      <c r="P24" s="23">
        <v>364</v>
      </c>
      <c r="Q24" s="23">
        <v>412</v>
      </c>
      <c r="R24" s="23"/>
    </row>
    <row r="25" spans="1:18" x14ac:dyDescent="0.2">
      <c r="A25" s="2" t="s">
        <v>2057</v>
      </c>
      <c r="B25" s="2" t="s">
        <v>2601</v>
      </c>
      <c r="C25" s="23">
        <v>38</v>
      </c>
      <c r="D25" s="23">
        <v>76</v>
      </c>
      <c r="E25" s="23">
        <v>81</v>
      </c>
      <c r="F25" s="23">
        <v>132</v>
      </c>
      <c r="G25" s="23">
        <v>233</v>
      </c>
      <c r="H25" s="23">
        <v>243</v>
      </c>
      <c r="I25" s="23">
        <v>266</v>
      </c>
      <c r="J25" s="23">
        <v>419</v>
      </c>
      <c r="K25" s="23">
        <v>451</v>
      </c>
      <c r="L25" s="23">
        <v>517</v>
      </c>
      <c r="M25" s="23">
        <v>519</v>
      </c>
      <c r="N25" s="23">
        <v>604</v>
      </c>
      <c r="O25" s="23"/>
      <c r="P25" s="23"/>
      <c r="Q25" s="23"/>
      <c r="R25" s="23"/>
    </row>
    <row r="26" spans="1:18" x14ac:dyDescent="0.2">
      <c r="A26" s="2" t="s">
        <v>2058</v>
      </c>
      <c r="B26" s="2" t="s">
        <v>2601</v>
      </c>
      <c r="C26" s="23">
        <v>27</v>
      </c>
      <c r="D26" s="23">
        <v>35</v>
      </c>
      <c r="E26" s="23">
        <v>65</v>
      </c>
      <c r="F26" s="23">
        <v>77</v>
      </c>
      <c r="G26" s="23">
        <v>100</v>
      </c>
      <c r="H26" s="23">
        <v>145</v>
      </c>
      <c r="I26" s="23">
        <v>148</v>
      </c>
      <c r="J26" s="23">
        <v>180</v>
      </c>
      <c r="K26" s="23">
        <v>209</v>
      </c>
      <c r="L26" s="23">
        <v>287</v>
      </c>
      <c r="M26" s="23">
        <v>339</v>
      </c>
      <c r="N26" s="23">
        <v>376</v>
      </c>
      <c r="O26" s="23">
        <v>378</v>
      </c>
      <c r="P26" s="23">
        <v>427</v>
      </c>
      <c r="Q26" s="23">
        <v>520</v>
      </c>
      <c r="R26" s="23"/>
    </row>
    <row r="27" spans="1:18" x14ac:dyDescent="0.2">
      <c r="A27" s="2" t="s">
        <v>2059</v>
      </c>
      <c r="B27" s="2" t="s">
        <v>2601</v>
      </c>
      <c r="C27" s="23">
        <v>581</v>
      </c>
      <c r="D27" s="23">
        <v>47</v>
      </c>
      <c r="E27" s="23">
        <v>82</v>
      </c>
      <c r="F27" s="23">
        <v>83</v>
      </c>
      <c r="G27" s="23">
        <v>92</v>
      </c>
      <c r="H27" s="23">
        <v>128</v>
      </c>
      <c r="I27" s="23">
        <v>154</v>
      </c>
      <c r="J27" s="23">
        <v>210</v>
      </c>
      <c r="K27" s="23">
        <v>282</v>
      </c>
      <c r="L27" s="23">
        <v>329</v>
      </c>
      <c r="M27" s="23">
        <v>357</v>
      </c>
      <c r="N27" s="23">
        <v>361</v>
      </c>
      <c r="O27" s="23">
        <v>370</v>
      </c>
      <c r="P27" s="23">
        <v>513</v>
      </c>
      <c r="Q27" s="23">
        <v>553</v>
      </c>
      <c r="R27" s="23"/>
    </row>
    <row r="28" spans="1:18" x14ac:dyDescent="0.2">
      <c r="A28" s="2" t="s">
        <v>2060</v>
      </c>
      <c r="B28" s="2" t="s">
        <v>2601</v>
      </c>
      <c r="C28" s="23">
        <v>228</v>
      </c>
      <c r="D28" s="23">
        <v>229</v>
      </c>
      <c r="E28" s="23">
        <v>264</v>
      </c>
      <c r="F28" s="23">
        <v>290</v>
      </c>
      <c r="G28" s="23">
        <v>341</v>
      </c>
      <c r="H28" s="23">
        <v>449</v>
      </c>
      <c r="I28" s="23">
        <v>499</v>
      </c>
      <c r="J28" s="23">
        <v>555</v>
      </c>
      <c r="K28" s="23">
        <v>558</v>
      </c>
      <c r="L28" s="23">
        <v>560</v>
      </c>
      <c r="M28" s="23"/>
      <c r="N28" s="23"/>
      <c r="O28" s="23"/>
      <c r="P28" s="23"/>
      <c r="Q28" s="23"/>
      <c r="R28" s="23"/>
    </row>
    <row r="29" spans="1:18" x14ac:dyDescent="0.2">
      <c r="A29" s="2" t="s">
        <v>2061</v>
      </c>
      <c r="B29" s="2" t="s">
        <v>2601</v>
      </c>
      <c r="C29" s="23">
        <v>14</v>
      </c>
      <c r="D29" s="23">
        <v>33</v>
      </c>
      <c r="E29" s="23">
        <v>51</v>
      </c>
      <c r="F29" s="23">
        <v>61</v>
      </c>
      <c r="G29" s="23">
        <v>116</v>
      </c>
      <c r="H29" s="23">
        <v>158</v>
      </c>
      <c r="I29" s="23">
        <v>184</v>
      </c>
      <c r="J29" s="23">
        <v>292</v>
      </c>
      <c r="K29" s="23">
        <v>300</v>
      </c>
      <c r="L29" s="23">
        <v>410</v>
      </c>
      <c r="M29" s="23">
        <v>482</v>
      </c>
      <c r="N29" s="23">
        <v>505</v>
      </c>
      <c r="O29" s="23"/>
      <c r="P29" s="23"/>
      <c r="Q29" s="23"/>
      <c r="R29" s="23"/>
    </row>
    <row r="30" spans="1:18" x14ac:dyDescent="0.2">
      <c r="A30" s="2" t="s">
        <v>2062</v>
      </c>
      <c r="B30" s="2" t="s">
        <v>2601</v>
      </c>
      <c r="C30" s="23">
        <v>70</v>
      </c>
      <c r="D30" s="23">
        <v>79</v>
      </c>
      <c r="E30" s="23">
        <v>101</v>
      </c>
      <c r="F30" s="23">
        <v>140</v>
      </c>
      <c r="G30" s="23">
        <v>204</v>
      </c>
      <c r="H30" s="23">
        <v>235</v>
      </c>
      <c r="I30" s="23">
        <v>253</v>
      </c>
      <c r="J30" s="23">
        <v>283</v>
      </c>
      <c r="K30" s="23">
        <v>301</v>
      </c>
      <c r="L30" s="23">
        <v>308</v>
      </c>
      <c r="M30" s="23">
        <v>480</v>
      </c>
      <c r="N30" s="23">
        <v>543</v>
      </c>
      <c r="O30" s="23"/>
      <c r="P30" s="23"/>
      <c r="Q30" s="23"/>
      <c r="R30" s="23"/>
    </row>
    <row r="31" spans="1:18" x14ac:dyDescent="0.2">
      <c r="A31" s="2" t="s">
        <v>2063</v>
      </c>
      <c r="B31" s="2" t="s">
        <v>2601</v>
      </c>
      <c r="C31" s="23">
        <v>1</v>
      </c>
      <c r="D31" s="23">
        <v>10</v>
      </c>
      <c r="E31" s="23">
        <v>22</v>
      </c>
      <c r="F31" s="23">
        <v>64</v>
      </c>
      <c r="G31" s="23">
        <v>139</v>
      </c>
      <c r="H31" s="23">
        <v>153</v>
      </c>
      <c r="I31" s="23">
        <v>187</v>
      </c>
      <c r="J31" s="23">
        <v>188</v>
      </c>
      <c r="K31" s="23">
        <v>347</v>
      </c>
      <c r="L31" s="23">
        <v>354</v>
      </c>
      <c r="M31" s="23">
        <v>397</v>
      </c>
      <c r="N31" s="23">
        <v>509</v>
      </c>
      <c r="O31" s="23">
        <v>552</v>
      </c>
      <c r="P31" s="23">
        <v>564</v>
      </c>
      <c r="Q31" s="23">
        <v>606</v>
      </c>
      <c r="R31" s="23"/>
    </row>
    <row r="32" spans="1:18" x14ac:dyDescent="0.2">
      <c r="A32" s="2" t="s">
        <v>2064</v>
      </c>
      <c r="B32" s="2" t="s">
        <v>2601</v>
      </c>
      <c r="C32" s="23">
        <v>37</v>
      </c>
      <c r="D32" s="23">
        <v>66</v>
      </c>
      <c r="E32" s="23">
        <v>74</v>
      </c>
      <c r="F32" s="23">
        <v>90</v>
      </c>
      <c r="G32" s="23">
        <v>103</v>
      </c>
      <c r="H32" s="23">
        <v>115</v>
      </c>
      <c r="I32" s="23">
        <v>205</v>
      </c>
      <c r="J32" s="23">
        <v>219</v>
      </c>
      <c r="K32" s="23">
        <v>232</v>
      </c>
      <c r="L32" s="23">
        <v>251</v>
      </c>
      <c r="M32" s="23">
        <v>327</v>
      </c>
      <c r="N32" s="23">
        <v>332</v>
      </c>
      <c r="O32" s="23">
        <v>565</v>
      </c>
      <c r="P32" s="23"/>
      <c r="Q32" s="23"/>
      <c r="R32" s="23"/>
    </row>
    <row r="33" spans="1:18" x14ac:dyDescent="0.2">
      <c r="A33" s="2" t="s">
        <v>2065</v>
      </c>
      <c r="B33" s="2" t="s">
        <v>2601</v>
      </c>
      <c r="C33" s="23">
        <v>84</v>
      </c>
      <c r="D33" s="23">
        <v>162</v>
      </c>
      <c r="E33" s="23">
        <v>174</v>
      </c>
      <c r="F33" s="23">
        <v>200</v>
      </c>
      <c r="G33" s="23">
        <v>310</v>
      </c>
      <c r="H33" s="23">
        <v>422</v>
      </c>
      <c r="I33" s="23">
        <v>527</v>
      </c>
      <c r="J33" s="23">
        <v>546</v>
      </c>
      <c r="K33" s="23">
        <v>588</v>
      </c>
      <c r="L33" s="23"/>
      <c r="M33" s="23"/>
      <c r="N33" s="23"/>
      <c r="O33" s="23"/>
      <c r="P33" s="23"/>
      <c r="Q33" s="23"/>
      <c r="R33" s="23"/>
    </row>
    <row r="34" spans="1:18" x14ac:dyDescent="0.2">
      <c r="A34" s="2" t="s">
        <v>2066</v>
      </c>
      <c r="B34" s="2" t="s">
        <v>2601</v>
      </c>
      <c r="C34" s="23">
        <v>5</v>
      </c>
      <c r="D34" s="23">
        <v>17</v>
      </c>
      <c r="E34" s="23">
        <v>46</v>
      </c>
      <c r="F34" s="23">
        <v>54</v>
      </c>
      <c r="G34" s="23">
        <v>106</v>
      </c>
      <c r="H34" s="23">
        <v>155</v>
      </c>
      <c r="I34" s="23">
        <v>190</v>
      </c>
      <c r="J34" s="23">
        <v>196</v>
      </c>
      <c r="K34" s="23">
        <v>221</v>
      </c>
      <c r="L34" s="23">
        <v>260</v>
      </c>
      <c r="M34" s="23">
        <v>374</v>
      </c>
      <c r="N34" s="23">
        <v>393</v>
      </c>
      <c r="O34" s="23">
        <v>540</v>
      </c>
      <c r="P34" s="23"/>
      <c r="Q34" s="23"/>
      <c r="R34" s="23"/>
    </row>
    <row r="35" spans="1:18" x14ac:dyDescent="0.2">
      <c r="A35" s="2" t="s">
        <v>2067</v>
      </c>
      <c r="B35" s="2" t="s">
        <v>2601</v>
      </c>
      <c r="C35" s="23">
        <v>34</v>
      </c>
      <c r="D35" s="23">
        <v>117</v>
      </c>
      <c r="E35" s="23">
        <v>151</v>
      </c>
      <c r="F35" s="23">
        <v>179</v>
      </c>
      <c r="G35" s="23">
        <v>195</v>
      </c>
      <c r="H35" s="23">
        <v>217</v>
      </c>
      <c r="I35" s="23">
        <v>305</v>
      </c>
      <c r="J35" s="23">
        <v>450</v>
      </c>
      <c r="K35" s="23">
        <v>460</v>
      </c>
      <c r="L35" s="23">
        <v>462</v>
      </c>
      <c r="M35" s="23">
        <v>494</v>
      </c>
      <c r="N35" s="23">
        <v>508</v>
      </c>
      <c r="O35" s="23">
        <v>544</v>
      </c>
      <c r="P35" s="23"/>
      <c r="Q35" s="23"/>
      <c r="R35" s="23"/>
    </row>
    <row r="36" spans="1:18" x14ac:dyDescent="0.2">
      <c r="A36" s="2" t="s">
        <v>2068</v>
      </c>
      <c r="B36" s="2" t="s">
        <v>2601</v>
      </c>
      <c r="C36" s="23">
        <v>121</v>
      </c>
      <c r="D36" s="23">
        <v>165</v>
      </c>
      <c r="E36" s="23">
        <v>185</v>
      </c>
      <c r="F36" s="23">
        <v>220</v>
      </c>
      <c r="G36" s="23">
        <v>286</v>
      </c>
      <c r="H36" s="23">
        <v>338</v>
      </c>
      <c r="I36" s="23">
        <v>350</v>
      </c>
      <c r="J36" s="23">
        <v>356</v>
      </c>
      <c r="K36" s="23">
        <v>369</v>
      </c>
      <c r="L36" s="23">
        <v>371</v>
      </c>
      <c r="M36" s="23">
        <v>375</v>
      </c>
      <c r="N36" s="23">
        <v>377</v>
      </c>
      <c r="O36" s="23">
        <v>379</v>
      </c>
      <c r="P36" s="23">
        <v>593</v>
      </c>
      <c r="Q36" s="23"/>
      <c r="R36" s="23"/>
    </row>
    <row r="37" spans="1:18" x14ac:dyDescent="0.2">
      <c r="A37" s="2" t="s">
        <v>2069</v>
      </c>
      <c r="B37" s="2" t="s">
        <v>2601</v>
      </c>
      <c r="C37" s="23">
        <v>168</v>
      </c>
      <c r="D37" s="23">
        <v>225</v>
      </c>
      <c r="E37" s="23">
        <v>318</v>
      </c>
      <c r="F37" s="23">
        <v>337</v>
      </c>
      <c r="G37" s="23">
        <v>345</v>
      </c>
      <c r="H37" s="23">
        <v>360</v>
      </c>
      <c r="I37" s="23">
        <v>362</v>
      </c>
      <c r="J37" s="23">
        <v>394</v>
      </c>
      <c r="K37" s="23">
        <v>421</v>
      </c>
      <c r="L37" s="23">
        <v>490</v>
      </c>
      <c r="M37" s="23">
        <v>504</v>
      </c>
      <c r="N37" s="23">
        <v>584</v>
      </c>
      <c r="O37" s="23">
        <v>595</v>
      </c>
      <c r="P37" s="23"/>
      <c r="Q37" s="23"/>
      <c r="R37" s="23"/>
    </row>
    <row r="38" spans="1:18" x14ac:dyDescent="0.2">
      <c r="A38" s="2" t="s">
        <v>2070</v>
      </c>
      <c r="B38" s="2" t="s">
        <v>2601</v>
      </c>
      <c r="C38" s="23">
        <v>181</v>
      </c>
      <c r="D38" s="23">
        <v>342</v>
      </c>
      <c r="E38" s="23">
        <v>380</v>
      </c>
      <c r="F38" s="23">
        <v>388</v>
      </c>
      <c r="G38" s="23">
        <v>395</v>
      </c>
      <c r="H38" s="23">
        <v>401</v>
      </c>
      <c r="I38" s="23">
        <v>403</v>
      </c>
      <c r="J38" s="23">
        <v>437</v>
      </c>
      <c r="K38" s="23">
        <v>440</v>
      </c>
      <c r="L38" s="23">
        <v>445</v>
      </c>
      <c r="M38" s="23">
        <v>489</v>
      </c>
      <c r="N38" s="23">
        <v>576</v>
      </c>
      <c r="O38" s="23"/>
      <c r="P38" s="23"/>
      <c r="Q38" s="23"/>
      <c r="R38" s="23"/>
    </row>
    <row r="39" spans="1:18" x14ac:dyDescent="0.2">
      <c r="A39" s="1" t="s">
        <v>2071</v>
      </c>
      <c r="B39" s="1" t="s">
        <v>2723</v>
      </c>
      <c r="C39" s="23">
        <v>471</v>
      </c>
      <c r="D39" s="23">
        <v>472</v>
      </c>
      <c r="E39" s="23">
        <v>473</v>
      </c>
      <c r="F39" s="23">
        <v>538</v>
      </c>
      <c r="G39" s="23">
        <v>572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x14ac:dyDescent="0.2">
      <c r="A40" s="1" t="s">
        <v>2072</v>
      </c>
      <c r="B40" s="27" t="s">
        <v>2724</v>
      </c>
      <c r="C40" s="28">
        <v>411</v>
      </c>
      <c r="D40" s="28">
        <v>415</v>
      </c>
      <c r="E40" s="28">
        <v>420</v>
      </c>
      <c r="F40" s="28">
        <v>429</v>
      </c>
      <c r="G40" s="28">
        <v>430</v>
      </c>
      <c r="H40" s="28">
        <v>446</v>
      </c>
      <c r="I40" s="28">
        <v>447</v>
      </c>
      <c r="J40" s="28">
        <v>475</v>
      </c>
      <c r="K40" s="28">
        <v>531</v>
      </c>
      <c r="L40" s="28">
        <v>601</v>
      </c>
      <c r="M40" s="23"/>
      <c r="N40" s="23"/>
      <c r="O40" s="23"/>
      <c r="P40" s="23"/>
      <c r="Q40" s="23"/>
      <c r="R40" s="23"/>
    </row>
    <row r="41" spans="1:18" x14ac:dyDescent="0.2">
      <c r="A41" s="1" t="s">
        <v>2073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3"/>
      <c r="N41" s="23"/>
      <c r="O41" s="23"/>
      <c r="P41" s="23"/>
      <c r="Q41" s="23"/>
      <c r="R41" s="23"/>
    </row>
    <row r="42" spans="1:18" x14ac:dyDescent="0.2">
      <c r="A42" s="1" t="s">
        <v>2074</v>
      </c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3"/>
      <c r="N42" s="23"/>
      <c r="O42" s="23"/>
      <c r="P42" s="23"/>
      <c r="Q42" s="23"/>
      <c r="R42" s="23"/>
    </row>
    <row r="43" spans="1:18" x14ac:dyDescent="0.2">
      <c r="A43" s="1" t="s">
        <v>2093</v>
      </c>
      <c r="B43" s="27" t="s">
        <v>2725</v>
      </c>
      <c r="C43" s="23">
        <v>348</v>
      </c>
      <c r="D43" s="23">
        <v>484</v>
      </c>
      <c r="E43" s="23">
        <v>512</v>
      </c>
      <c r="F43" s="23">
        <v>547</v>
      </c>
      <c r="G43" s="23">
        <v>549</v>
      </c>
      <c r="H43" s="23">
        <v>570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x14ac:dyDescent="0.2">
      <c r="A44" s="1" t="s">
        <v>2094</v>
      </c>
      <c r="B44" s="27"/>
      <c r="C44" s="28">
        <v>381</v>
      </c>
      <c r="D44" s="28">
        <v>407</v>
      </c>
      <c r="E44" s="28">
        <v>413</v>
      </c>
      <c r="F44" s="28">
        <v>474</v>
      </c>
      <c r="G44" s="28">
        <v>511</v>
      </c>
      <c r="H44" s="28">
        <v>533</v>
      </c>
      <c r="I44" s="28">
        <v>541</v>
      </c>
      <c r="J44" s="23"/>
      <c r="K44" s="23"/>
      <c r="L44" s="23"/>
      <c r="M44" s="23"/>
      <c r="N44" s="23"/>
      <c r="O44" s="23"/>
      <c r="P44" s="23"/>
      <c r="Q44" s="23"/>
      <c r="R44" s="23"/>
    </row>
    <row r="45" spans="1:18" x14ac:dyDescent="0.2">
      <c r="A45" s="1" t="s">
        <v>2096</v>
      </c>
      <c r="B45" s="27"/>
      <c r="C45" s="28"/>
      <c r="D45" s="28"/>
      <c r="E45" s="28"/>
      <c r="F45" s="28"/>
      <c r="G45" s="28"/>
      <c r="H45" s="28"/>
      <c r="I45" s="28"/>
      <c r="J45" s="23"/>
      <c r="K45" s="23"/>
      <c r="L45" s="23"/>
      <c r="M45" s="23"/>
      <c r="N45" s="23"/>
      <c r="O45" s="23"/>
      <c r="P45" s="23"/>
      <c r="Q45" s="23"/>
      <c r="R45" s="23"/>
    </row>
    <row r="46" spans="1:18" x14ac:dyDescent="0.2">
      <c r="A46" s="1" t="s">
        <v>2077</v>
      </c>
      <c r="B46" s="27" t="s">
        <v>2726</v>
      </c>
      <c r="C46" s="28">
        <v>322</v>
      </c>
      <c r="D46" s="28">
        <v>330</v>
      </c>
      <c r="E46" s="28">
        <v>353</v>
      </c>
      <c r="F46" s="28">
        <v>386</v>
      </c>
      <c r="G46" s="28">
        <v>432</v>
      </c>
      <c r="H46" s="28">
        <v>464</v>
      </c>
      <c r="I46" s="28">
        <v>501</v>
      </c>
      <c r="J46" s="28">
        <v>502</v>
      </c>
      <c r="K46" s="28">
        <v>523</v>
      </c>
      <c r="L46" s="28">
        <v>524</v>
      </c>
      <c r="M46" s="28">
        <v>554</v>
      </c>
      <c r="N46" s="28">
        <v>562</v>
      </c>
      <c r="O46" s="23"/>
      <c r="P46" s="23"/>
      <c r="Q46" s="23"/>
      <c r="R46" s="23"/>
    </row>
    <row r="47" spans="1:18" x14ac:dyDescent="0.2">
      <c r="A47" s="1" t="s">
        <v>2079</v>
      </c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3"/>
      <c r="P47" s="23"/>
      <c r="Q47" s="23"/>
      <c r="R47" s="23"/>
    </row>
    <row r="48" spans="1:18" x14ac:dyDescent="0.2">
      <c r="A48" s="1" t="s">
        <v>2082</v>
      </c>
      <c r="B48" s="27" t="s">
        <v>2727</v>
      </c>
      <c r="C48" s="28">
        <v>458</v>
      </c>
      <c r="D48" s="28">
        <v>465</v>
      </c>
      <c r="E48" s="28">
        <v>536</v>
      </c>
      <c r="F48" s="28">
        <v>537</v>
      </c>
      <c r="G48" s="28">
        <v>573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x14ac:dyDescent="0.2">
      <c r="A49" s="1" t="s">
        <v>2083</v>
      </c>
      <c r="B49" s="27"/>
      <c r="C49" s="28"/>
      <c r="D49" s="28"/>
      <c r="E49" s="28"/>
      <c r="F49" s="28"/>
      <c r="G49" s="28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x14ac:dyDescent="0.2">
      <c r="A50" s="1" t="s">
        <v>2084</v>
      </c>
      <c r="B50" s="27" t="s">
        <v>2728</v>
      </c>
      <c r="C50" s="28">
        <v>289</v>
      </c>
      <c r="D50" s="28">
        <v>336</v>
      </c>
      <c r="E50" s="28">
        <v>366</v>
      </c>
      <c r="F50" s="28">
        <v>382</v>
      </c>
      <c r="G50" s="28">
        <v>425</v>
      </c>
      <c r="H50" s="28">
        <v>469</v>
      </c>
      <c r="I50" s="28">
        <v>478</v>
      </c>
      <c r="J50" s="28">
        <v>485</v>
      </c>
      <c r="K50" s="23"/>
      <c r="L50" s="23"/>
      <c r="M50" s="23"/>
      <c r="N50" s="23"/>
      <c r="O50" s="23"/>
      <c r="P50" s="23"/>
      <c r="Q50" s="23"/>
      <c r="R50" s="23"/>
    </row>
    <row r="51" spans="1:18" x14ac:dyDescent="0.2">
      <c r="A51" s="1" t="s">
        <v>2085</v>
      </c>
      <c r="B51" s="27"/>
      <c r="C51" s="28"/>
      <c r="D51" s="28"/>
      <c r="E51" s="28"/>
      <c r="F51" s="28"/>
      <c r="G51" s="28"/>
      <c r="H51" s="28"/>
      <c r="I51" s="28"/>
      <c r="J51" s="28"/>
      <c r="K51" s="23"/>
      <c r="L51" s="23"/>
      <c r="M51" s="23"/>
      <c r="N51" s="23"/>
      <c r="O51" s="23"/>
      <c r="P51" s="23"/>
      <c r="Q51" s="23"/>
      <c r="R51" s="23"/>
    </row>
    <row r="52" spans="1:18" x14ac:dyDescent="0.2">
      <c r="A52" s="1" t="s">
        <v>2086</v>
      </c>
      <c r="B52" s="1" t="s">
        <v>2729</v>
      </c>
      <c r="C52" s="23">
        <v>344</v>
      </c>
      <c r="D52" s="23">
        <v>433</v>
      </c>
      <c r="E52" s="23">
        <v>434</v>
      </c>
      <c r="F52" s="23">
        <v>487</v>
      </c>
      <c r="G52" s="23">
        <v>496</v>
      </c>
      <c r="H52" s="23">
        <v>568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x14ac:dyDescent="0.2">
      <c r="A53" s="1" t="s">
        <v>2087</v>
      </c>
      <c r="B53" s="27" t="s">
        <v>2730</v>
      </c>
      <c r="C53" s="28">
        <v>309</v>
      </c>
      <c r="D53" s="28">
        <v>311</v>
      </c>
      <c r="E53" s="28">
        <v>319</v>
      </c>
      <c r="F53" s="28">
        <v>326</v>
      </c>
      <c r="G53" s="28">
        <v>340</v>
      </c>
      <c r="H53" s="28">
        <v>363</v>
      </c>
      <c r="I53" s="28">
        <v>442</v>
      </c>
      <c r="J53" s="28">
        <v>448</v>
      </c>
      <c r="K53" s="28">
        <v>456</v>
      </c>
      <c r="L53" s="28">
        <v>476</v>
      </c>
      <c r="M53" s="28">
        <v>514</v>
      </c>
      <c r="N53" s="28">
        <v>515</v>
      </c>
      <c r="O53" s="28">
        <v>579</v>
      </c>
      <c r="P53" s="23"/>
      <c r="Q53" s="23"/>
      <c r="R53" s="23"/>
    </row>
    <row r="54" spans="1:18" x14ac:dyDescent="0.2">
      <c r="A54" s="1" t="s">
        <v>2088</v>
      </c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3"/>
      <c r="Q54" s="23"/>
      <c r="R54" s="23"/>
    </row>
    <row r="55" spans="1:18" x14ac:dyDescent="0.2">
      <c r="A55" s="1" t="s">
        <v>2089</v>
      </c>
      <c r="B55" s="1" t="s">
        <v>2731</v>
      </c>
      <c r="C55" s="23">
        <v>280</v>
      </c>
      <c r="D55" s="23">
        <v>294</v>
      </c>
      <c r="E55" s="23">
        <v>303</v>
      </c>
      <c r="F55" s="23">
        <v>335</v>
      </c>
      <c r="G55" s="23">
        <v>400</v>
      </c>
      <c r="H55" s="23">
        <v>416</v>
      </c>
      <c r="I55" s="23">
        <v>455</v>
      </c>
      <c r="J55" s="23">
        <v>467</v>
      </c>
      <c r="K55" s="23">
        <v>468</v>
      </c>
      <c r="L55" s="23">
        <v>477</v>
      </c>
      <c r="M55" s="23">
        <v>488</v>
      </c>
      <c r="N55" s="23">
        <v>497</v>
      </c>
      <c r="O55" s="23"/>
      <c r="P55" s="23"/>
      <c r="Q55" s="23"/>
      <c r="R55" s="23"/>
    </row>
    <row r="56" spans="1:18" x14ac:dyDescent="0.2">
      <c r="A56" s="1" t="s">
        <v>2090</v>
      </c>
      <c r="B56" s="27" t="s">
        <v>2732</v>
      </c>
      <c r="C56" s="28">
        <v>491</v>
      </c>
      <c r="D56" s="28">
        <v>492</v>
      </c>
      <c r="E56" s="28">
        <v>493</v>
      </c>
      <c r="F56" s="28">
        <v>495</v>
      </c>
      <c r="G56" s="28">
        <v>569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x14ac:dyDescent="0.2">
      <c r="A57" s="1" t="s">
        <v>2091</v>
      </c>
      <c r="B57" s="27"/>
      <c r="C57" s="28"/>
      <c r="D57" s="28"/>
      <c r="E57" s="28"/>
      <c r="F57" s="28"/>
      <c r="G57" s="28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x14ac:dyDescent="0.2">
      <c r="A58" s="1" t="s">
        <v>2098</v>
      </c>
      <c r="B58" s="1" t="s">
        <v>2733</v>
      </c>
      <c r="C58" s="23">
        <v>343</v>
      </c>
      <c r="D58" s="23">
        <v>405</v>
      </c>
      <c r="E58" s="23">
        <v>443</v>
      </c>
      <c r="F58" s="23">
        <v>459</v>
      </c>
      <c r="G58" s="23">
        <v>466</v>
      </c>
      <c r="H58" s="23">
        <v>483</v>
      </c>
      <c r="I58" s="23">
        <v>486</v>
      </c>
      <c r="J58" s="23">
        <v>534</v>
      </c>
      <c r="K58" s="23">
        <v>551</v>
      </c>
      <c r="L58" s="23">
        <v>561</v>
      </c>
      <c r="M58" s="23">
        <v>575</v>
      </c>
      <c r="N58" s="23"/>
      <c r="O58" s="23"/>
      <c r="P58" s="23"/>
      <c r="Q58" s="23"/>
      <c r="R58" s="23"/>
    </row>
  </sheetData>
  <mergeCells count="68">
    <mergeCell ref="G56:G57"/>
    <mergeCell ref="F56:F57"/>
    <mergeCell ref="E56:E57"/>
    <mergeCell ref="D56:D57"/>
    <mergeCell ref="C56:C57"/>
    <mergeCell ref="J50:J51"/>
    <mergeCell ref="I50:I51"/>
    <mergeCell ref="H50:H51"/>
    <mergeCell ref="G50:G51"/>
    <mergeCell ref="J53:J54"/>
    <mergeCell ref="I53:I54"/>
    <mergeCell ref="H53:H54"/>
    <mergeCell ref="G53:G54"/>
    <mergeCell ref="O53:O54"/>
    <mergeCell ref="N53:N54"/>
    <mergeCell ref="M53:M54"/>
    <mergeCell ref="L53:L54"/>
    <mergeCell ref="K53:K54"/>
    <mergeCell ref="B50:B51"/>
    <mergeCell ref="B53:B54"/>
    <mergeCell ref="B56:B57"/>
    <mergeCell ref="F50:F51"/>
    <mergeCell ref="E50:E51"/>
    <mergeCell ref="D50:D51"/>
    <mergeCell ref="C50:C51"/>
    <mergeCell ref="C53:C54"/>
    <mergeCell ref="D53:D54"/>
    <mergeCell ref="F53:F54"/>
    <mergeCell ref="E53:E54"/>
    <mergeCell ref="N46:N47"/>
    <mergeCell ref="B48:B49"/>
    <mergeCell ref="C48:C49"/>
    <mergeCell ref="D48:D49"/>
    <mergeCell ref="E48:E49"/>
    <mergeCell ref="F48:F49"/>
    <mergeCell ref="G48:G49"/>
    <mergeCell ref="H46:H47"/>
    <mergeCell ref="I46:I47"/>
    <mergeCell ref="J46:J47"/>
    <mergeCell ref="K46:K47"/>
    <mergeCell ref="L46:L47"/>
    <mergeCell ref="M46:M47"/>
    <mergeCell ref="B46:B47"/>
    <mergeCell ref="C46:C47"/>
    <mergeCell ref="D46:D47"/>
    <mergeCell ref="E46:E47"/>
    <mergeCell ref="F46:F47"/>
    <mergeCell ref="G46:G47"/>
    <mergeCell ref="K40:K42"/>
    <mergeCell ref="L40:L42"/>
    <mergeCell ref="G44:G45"/>
    <mergeCell ref="H44:H45"/>
    <mergeCell ref="I44:I45"/>
    <mergeCell ref="B43:B45"/>
    <mergeCell ref="C44:C45"/>
    <mergeCell ref="D44:D45"/>
    <mergeCell ref="E44:E45"/>
    <mergeCell ref="F44:F45"/>
    <mergeCell ref="C1:R1"/>
    <mergeCell ref="B40:B42"/>
    <mergeCell ref="C40:C42"/>
    <mergeCell ref="D40:D42"/>
    <mergeCell ref="E40:E42"/>
    <mergeCell ref="F40:F42"/>
    <mergeCell ref="G40:G42"/>
    <mergeCell ref="H40:H42"/>
    <mergeCell ref="I40:I42"/>
    <mergeCell ref="J40:J4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207C-3FEB-584D-A849-E6CD1E9457BB}">
  <dimension ref="A1:R58"/>
  <sheetViews>
    <sheetView workbookViewId="0">
      <selection sqref="A1:R2"/>
    </sheetView>
  </sheetViews>
  <sheetFormatPr baseColWidth="10" defaultRowHeight="16" x14ac:dyDescent="0.2"/>
  <cols>
    <col min="1" max="1" width="12" bestFit="1" customWidth="1"/>
    <col min="2" max="2" width="83.1640625" bestFit="1" customWidth="1"/>
    <col min="3" max="18" width="6.1640625" bestFit="1" customWidth="1"/>
  </cols>
  <sheetData>
    <row r="1" spans="1:18" x14ac:dyDescent="0.2">
      <c r="A1" s="1" t="s">
        <v>2720</v>
      </c>
      <c r="B1" s="1" t="s">
        <v>2721</v>
      </c>
      <c r="C1" s="33" t="s">
        <v>2722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</row>
    <row r="2" spans="1:18" x14ac:dyDescent="0.2">
      <c r="A2" s="2" t="s">
        <v>2116</v>
      </c>
      <c r="B2" s="2" t="s">
        <v>2601</v>
      </c>
      <c r="C2" s="23">
        <v>288</v>
      </c>
      <c r="D2" s="23">
        <v>84</v>
      </c>
      <c r="E2" s="23">
        <v>71</v>
      </c>
      <c r="F2" s="23">
        <v>131</v>
      </c>
      <c r="G2" s="23">
        <v>325</v>
      </c>
      <c r="H2" s="23">
        <v>372</v>
      </c>
      <c r="I2" s="23">
        <v>503</v>
      </c>
      <c r="J2" s="23">
        <v>87</v>
      </c>
      <c r="K2" s="23">
        <v>88</v>
      </c>
      <c r="L2" s="23">
        <v>315</v>
      </c>
      <c r="M2" s="23">
        <v>532</v>
      </c>
      <c r="N2" s="23">
        <v>588</v>
      </c>
      <c r="O2" s="23"/>
      <c r="P2" s="23"/>
      <c r="Q2" s="23"/>
      <c r="R2" s="23"/>
    </row>
    <row r="3" spans="1:18" x14ac:dyDescent="0.2">
      <c r="A3" s="2" t="s">
        <v>2117</v>
      </c>
      <c r="B3" s="2" t="s">
        <v>2601</v>
      </c>
      <c r="C3" s="23">
        <v>181</v>
      </c>
      <c r="D3" s="23">
        <v>239</v>
      </c>
      <c r="E3" s="23">
        <v>408</v>
      </c>
      <c r="F3" s="23">
        <v>399</v>
      </c>
      <c r="G3" s="23">
        <v>91</v>
      </c>
      <c r="H3" s="23">
        <v>516</v>
      </c>
      <c r="I3" s="23">
        <v>246</v>
      </c>
      <c r="J3" s="23">
        <v>539</v>
      </c>
      <c r="K3" s="23">
        <v>529</v>
      </c>
      <c r="L3" s="23">
        <v>522</v>
      </c>
      <c r="M3" s="23">
        <v>403</v>
      </c>
      <c r="N3" s="23">
        <v>401</v>
      </c>
      <c r="O3" s="23">
        <v>589</v>
      </c>
      <c r="P3" s="23"/>
      <c r="Q3" s="23"/>
      <c r="R3" s="23"/>
    </row>
    <row r="4" spans="1:18" x14ac:dyDescent="0.2">
      <c r="A4" s="2" t="s">
        <v>2118</v>
      </c>
      <c r="B4" s="2" t="s">
        <v>2601</v>
      </c>
      <c r="C4" s="23">
        <v>576</v>
      </c>
      <c r="D4" s="23">
        <v>445</v>
      </c>
      <c r="E4" s="23">
        <v>388</v>
      </c>
      <c r="F4" s="23">
        <v>440</v>
      </c>
      <c r="G4" s="23">
        <v>380</v>
      </c>
      <c r="H4" s="23">
        <v>437</v>
      </c>
      <c r="I4" s="23">
        <v>342</v>
      </c>
      <c r="J4" s="23">
        <v>395</v>
      </c>
      <c r="K4" s="23">
        <v>489</v>
      </c>
      <c r="L4" s="23">
        <v>544</v>
      </c>
      <c r="M4" s="23">
        <v>595</v>
      </c>
      <c r="N4" s="23"/>
      <c r="O4" s="23"/>
      <c r="P4" s="23"/>
      <c r="Q4" s="23"/>
      <c r="R4" s="23"/>
    </row>
    <row r="5" spans="1:18" x14ac:dyDescent="0.2">
      <c r="A5" s="2" t="s">
        <v>2119</v>
      </c>
      <c r="B5" s="2" t="s">
        <v>2601</v>
      </c>
      <c r="C5" s="23">
        <v>200</v>
      </c>
      <c r="D5" s="23">
        <v>422</v>
      </c>
      <c r="E5" s="23">
        <v>546</v>
      </c>
      <c r="F5" s="23">
        <v>174</v>
      </c>
      <c r="G5" s="23">
        <v>310</v>
      </c>
      <c r="H5" s="23">
        <v>162</v>
      </c>
      <c r="I5" s="23">
        <v>527</v>
      </c>
      <c r="J5" s="23">
        <v>263</v>
      </c>
      <c r="K5" s="23">
        <v>134</v>
      </c>
      <c r="L5" s="23">
        <v>453</v>
      </c>
      <c r="M5" s="23">
        <v>341</v>
      </c>
      <c r="N5" s="23">
        <v>317</v>
      </c>
      <c r="O5" s="23">
        <v>530</v>
      </c>
      <c r="P5" s="23">
        <v>558</v>
      </c>
      <c r="Q5" s="23"/>
      <c r="R5" s="23"/>
    </row>
    <row r="6" spans="1:18" x14ac:dyDescent="0.2">
      <c r="A6" s="2" t="s">
        <v>2120</v>
      </c>
      <c r="B6" s="2" t="s">
        <v>2601</v>
      </c>
      <c r="C6" s="23">
        <v>231</v>
      </c>
      <c r="D6" s="23">
        <v>555</v>
      </c>
      <c r="E6" s="23">
        <v>449</v>
      </c>
      <c r="F6" s="23">
        <v>264</v>
      </c>
      <c r="G6" s="23">
        <v>560</v>
      </c>
      <c r="H6" s="23">
        <v>229</v>
      </c>
      <c r="I6" s="23">
        <v>258</v>
      </c>
      <c r="J6" s="23">
        <v>237</v>
      </c>
      <c r="K6" s="23">
        <v>228</v>
      </c>
      <c r="L6" s="23">
        <v>293</v>
      </c>
      <c r="M6" s="23">
        <v>99</v>
      </c>
      <c r="N6" s="23"/>
      <c r="O6" s="23"/>
      <c r="P6" s="23"/>
      <c r="Q6" s="23"/>
      <c r="R6" s="23"/>
    </row>
    <row r="7" spans="1:18" x14ac:dyDescent="0.2">
      <c r="A7" s="2" t="s">
        <v>2121</v>
      </c>
      <c r="B7" s="2" t="s">
        <v>2601</v>
      </c>
      <c r="C7" s="23">
        <v>261</v>
      </c>
      <c r="D7" s="23">
        <v>521</v>
      </c>
      <c r="E7" s="23">
        <v>290</v>
      </c>
      <c r="F7" s="23">
        <v>499</v>
      </c>
      <c r="G7" s="23">
        <v>300</v>
      </c>
      <c r="H7" s="23">
        <v>482</v>
      </c>
      <c r="I7" s="23">
        <v>535</v>
      </c>
      <c r="J7" s="23">
        <v>204</v>
      </c>
      <c r="K7" s="23">
        <v>116</v>
      </c>
      <c r="L7" s="23">
        <v>101</v>
      </c>
      <c r="M7" s="23">
        <v>543</v>
      </c>
      <c r="N7" s="23">
        <v>598</v>
      </c>
      <c r="O7" s="23"/>
      <c r="P7" s="23"/>
      <c r="Q7" s="23"/>
      <c r="R7" s="23"/>
    </row>
    <row r="8" spans="1:18" x14ac:dyDescent="0.2">
      <c r="A8" s="2" t="s">
        <v>2122</v>
      </c>
      <c r="B8" s="2" t="s">
        <v>2601</v>
      </c>
      <c r="C8" s="23">
        <v>115</v>
      </c>
      <c r="D8" s="23">
        <v>460</v>
      </c>
      <c r="E8" s="23">
        <v>494</v>
      </c>
      <c r="F8" s="23">
        <v>195</v>
      </c>
      <c r="G8" s="23">
        <v>34</v>
      </c>
      <c r="H8" s="23">
        <v>305</v>
      </c>
      <c r="I8" s="23">
        <v>337</v>
      </c>
      <c r="J8" s="23">
        <v>504</v>
      </c>
      <c r="K8" s="23">
        <v>117</v>
      </c>
      <c r="L8" s="23">
        <v>584</v>
      </c>
      <c r="M8" s="23">
        <v>151</v>
      </c>
      <c r="N8" s="23">
        <v>179</v>
      </c>
      <c r="O8" s="23"/>
      <c r="P8" s="23"/>
      <c r="Q8" s="23"/>
      <c r="R8" s="23"/>
    </row>
    <row r="9" spans="1:18" x14ac:dyDescent="0.2">
      <c r="A9" s="2" t="s">
        <v>2123</v>
      </c>
      <c r="B9" s="2" t="s">
        <v>2601</v>
      </c>
      <c r="C9" s="23">
        <v>58</v>
      </c>
      <c r="D9" s="23">
        <v>308</v>
      </c>
      <c r="E9" s="23">
        <v>567</v>
      </c>
      <c r="F9" s="23">
        <v>140</v>
      </c>
      <c r="G9" s="23">
        <v>89</v>
      </c>
      <c r="H9" s="23">
        <v>275</v>
      </c>
      <c r="I9" s="23">
        <v>272</v>
      </c>
      <c r="J9" s="23">
        <v>70</v>
      </c>
      <c r="K9" s="23">
        <v>301</v>
      </c>
      <c r="L9" s="23">
        <v>259</v>
      </c>
      <c r="M9" s="23">
        <v>550</v>
      </c>
      <c r="N9" s="23"/>
      <c r="O9" s="23"/>
      <c r="P9" s="23"/>
      <c r="Q9" s="23"/>
      <c r="R9" s="23"/>
    </row>
    <row r="10" spans="1:18" x14ac:dyDescent="0.2">
      <c r="A10" s="2" t="s">
        <v>2124</v>
      </c>
      <c r="B10" s="2" t="s">
        <v>2601</v>
      </c>
      <c r="C10" s="23">
        <v>41</v>
      </c>
      <c r="D10" s="23">
        <v>67</v>
      </c>
      <c r="E10" s="23">
        <v>122</v>
      </c>
      <c r="F10" s="23">
        <v>127</v>
      </c>
      <c r="G10" s="23">
        <v>147</v>
      </c>
      <c r="H10" s="23">
        <v>173</v>
      </c>
      <c r="I10" s="23">
        <v>183</v>
      </c>
      <c r="J10" s="23">
        <v>238</v>
      </c>
      <c r="K10" s="23">
        <v>79</v>
      </c>
      <c r="L10" s="23">
        <v>480</v>
      </c>
      <c r="M10" s="23">
        <v>253</v>
      </c>
      <c r="N10" s="23">
        <v>605</v>
      </c>
      <c r="O10" s="23"/>
      <c r="P10" s="23"/>
      <c r="Q10" s="23"/>
      <c r="R10" s="23"/>
    </row>
    <row r="11" spans="1:18" x14ac:dyDescent="0.2">
      <c r="A11" s="2" t="s">
        <v>2125</v>
      </c>
      <c r="B11" s="2" t="s">
        <v>2601</v>
      </c>
      <c r="C11" s="23">
        <v>419</v>
      </c>
      <c r="D11" s="23">
        <v>243</v>
      </c>
      <c r="E11" s="23">
        <v>266</v>
      </c>
      <c r="F11" s="23">
        <v>603</v>
      </c>
      <c r="G11" s="23">
        <v>175</v>
      </c>
      <c r="H11" s="23">
        <v>299</v>
      </c>
      <c r="I11" s="23">
        <v>21</v>
      </c>
      <c r="J11" s="23">
        <v>123</v>
      </c>
      <c r="K11" s="23">
        <v>53</v>
      </c>
      <c r="L11" s="23">
        <v>265</v>
      </c>
      <c r="M11" s="23">
        <v>373</v>
      </c>
      <c r="N11" s="23">
        <v>199</v>
      </c>
      <c r="O11" s="23"/>
      <c r="P11" s="23"/>
      <c r="Q11" s="23"/>
      <c r="R11" s="23"/>
    </row>
    <row r="12" spans="1:18" x14ac:dyDescent="0.2">
      <c r="A12" s="2" t="s">
        <v>2126</v>
      </c>
      <c r="B12" s="2" t="s">
        <v>2601</v>
      </c>
      <c r="C12" s="23">
        <v>517</v>
      </c>
      <c r="D12" s="23">
        <v>33</v>
      </c>
      <c r="E12" s="23">
        <v>158</v>
      </c>
      <c r="F12" s="23">
        <v>541</v>
      </c>
      <c r="G12" s="23">
        <v>132</v>
      </c>
      <c r="H12" s="23">
        <v>76</v>
      </c>
      <c r="I12" s="23">
        <v>38</v>
      </c>
      <c r="J12" s="23">
        <v>81</v>
      </c>
      <c r="K12" s="23">
        <v>184</v>
      </c>
      <c r="L12" s="23">
        <v>51</v>
      </c>
      <c r="M12" s="23">
        <v>439</v>
      </c>
      <c r="N12" s="23"/>
      <c r="O12" s="23"/>
      <c r="P12" s="23"/>
      <c r="Q12" s="23"/>
      <c r="R12" s="23"/>
    </row>
    <row r="13" spans="1:18" x14ac:dyDescent="0.2">
      <c r="A13" s="2" t="s">
        <v>2127</v>
      </c>
      <c r="B13" s="2" t="s">
        <v>2601</v>
      </c>
      <c r="C13" s="23">
        <v>374</v>
      </c>
      <c r="D13" s="23">
        <v>90</v>
      </c>
      <c r="E13" s="23">
        <v>66</v>
      </c>
      <c r="F13" s="23">
        <v>332</v>
      </c>
      <c r="G13" s="23">
        <v>232</v>
      </c>
      <c r="H13" s="23">
        <v>219</v>
      </c>
      <c r="I13" s="23">
        <v>37</v>
      </c>
      <c r="J13" s="23">
        <v>205</v>
      </c>
      <c r="K13" s="23">
        <v>103</v>
      </c>
      <c r="L13" s="23">
        <v>327</v>
      </c>
      <c r="M13" s="23"/>
      <c r="N13" s="23"/>
      <c r="O13" s="23"/>
      <c r="P13" s="23"/>
      <c r="Q13" s="23"/>
      <c r="R13" s="23"/>
    </row>
    <row r="14" spans="1:18" x14ac:dyDescent="0.2">
      <c r="A14" s="2" t="s">
        <v>2128</v>
      </c>
      <c r="B14" s="2" t="s">
        <v>2601</v>
      </c>
      <c r="C14" s="23">
        <v>136</v>
      </c>
      <c r="D14" s="23">
        <v>565</v>
      </c>
      <c r="E14" s="23">
        <v>74</v>
      </c>
      <c r="F14" s="23">
        <v>346</v>
      </c>
      <c r="G14" s="23">
        <v>393</v>
      </c>
      <c r="H14" s="23">
        <v>260</v>
      </c>
      <c r="I14" s="23">
        <v>462</v>
      </c>
      <c r="J14" s="23">
        <v>217</v>
      </c>
      <c r="K14" s="23">
        <v>508</v>
      </c>
      <c r="L14" s="23">
        <v>450</v>
      </c>
      <c r="M14" s="23">
        <v>251</v>
      </c>
      <c r="N14" s="23"/>
      <c r="O14" s="23"/>
      <c r="P14" s="23"/>
      <c r="Q14" s="23"/>
      <c r="R14" s="23"/>
    </row>
    <row r="15" spans="1:18" x14ac:dyDescent="0.2">
      <c r="A15" s="2" t="s">
        <v>2746</v>
      </c>
      <c r="B15" s="2" t="s">
        <v>2601</v>
      </c>
      <c r="C15" s="23">
        <v>225</v>
      </c>
      <c r="D15" s="23">
        <v>19</v>
      </c>
      <c r="E15" s="23">
        <v>234</v>
      </c>
      <c r="F15" s="23">
        <v>119</v>
      </c>
      <c r="G15" s="23">
        <v>97</v>
      </c>
      <c r="H15" s="23">
        <v>578</v>
      </c>
      <c r="I15" s="23">
        <v>182</v>
      </c>
      <c r="J15" s="23">
        <v>548</v>
      </c>
      <c r="K15" s="23">
        <v>291</v>
      </c>
      <c r="L15" s="23">
        <v>593</v>
      </c>
      <c r="M15" s="23">
        <v>193</v>
      </c>
      <c r="N15" s="23">
        <v>25</v>
      </c>
      <c r="O15" s="23"/>
      <c r="P15" s="23"/>
      <c r="Q15" s="23"/>
      <c r="R15" s="23"/>
    </row>
    <row r="16" spans="1:18" x14ac:dyDescent="0.2">
      <c r="A16" s="2" t="s">
        <v>2129</v>
      </c>
      <c r="B16" s="2" t="s">
        <v>2601</v>
      </c>
      <c r="C16" s="23">
        <v>196</v>
      </c>
      <c r="D16" s="23">
        <v>273</v>
      </c>
      <c r="E16" s="23">
        <v>146</v>
      </c>
      <c r="F16" s="23">
        <v>46</v>
      </c>
      <c r="G16" s="23">
        <v>414</v>
      </c>
      <c r="H16" s="23">
        <v>124</v>
      </c>
      <c r="I16" s="23">
        <v>207</v>
      </c>
      <c r="J16" s="23">
        <v>247</v>
      </c>
      <c r="K16" s="23">
        <v>98</v>
      </c>
      <c r="L16" s="23">
        <v>438</v>
      </c>
      <c r="M16" s="23"/>
      <c r="N16" s="23"/>
      <c r="O16" s="23"/>
      <c r="P16" s="23"/>
      <c r="Q16" s="23"/>
      <c r="R16" s="23"/>
    </row>
    <row r="17" spans="1:18" x14ac:dyDescent="0.2">
      <c r="A17" s="2" t="s">
        <v>2130</v>
      </c>
      <c r="B17" s="2" t="s">
        <v>2601</v>
      </c>
      <c r="C17" s="23">
        <v>106</v>
      </c>
      <c r="D17" s="23">
        <v>213</v>
      </c>
      <c r="E17" s="23">
        <v>49</v>
      </c>
      <c r="F17" s="23">
        <v>105</v>
      </c>
      <c r="G17" s="23">
        <v>250</v>
      </c>
      <c r="H17" s="23">
        <v>20</v>
      </c>
      <c r="I17" s="23">
        <v>526</v>
      </c>
      <c r="J17" s="23">
        <v>202</v>
      </c>
      <c r="K17" s="23">
        <v>206</v>
      </c>
      <c r="L17" s="23">
        <v>236</v>
      </c>
      <c r="M17" s="23"/>
      <c r="N17" s="23"/>
      <c r="O17" s="23"/>
      <c r="P17" s="23"/>
      <c r="Q17" s="23"/>
      <c r="R17" s="23"/>
    </row>
    <row r="18" spans="1:18" x14ac:dyDescent="0.2">
      <c r="A18" s="2" t="s">
        <v>2131</v>
      </c>
      <c r="B18" s="2" t="s">
        <v>2601</v>
      </c>
      <c r="C18" s="23">
        <v>218</v>
      </c>
      <c r="D18" s="23">
        <v>7</v>
      </c>
      <c r="E18" s="23">
        <v>331</v>
      </c>
      <c r="F18" s="23">
        <v>16</v>
      </c>
      <c r="G18" s="23">
        <v>359</v>
      </c>
      <c r="H18" s="23">
        <v>3</v>
      </c>
      <c r="I18" s="23">
        <v>222</v>
      </c>
      <c r="J18" s="23">
        <v>324</v>
      </c>
      <c r="K18" s="23">
        <v>481</v>
      </c>
      <c r="L18" s="23">
        <v>334</v>
      </c>
      <c r="M18" s="23">
        <v>211</v>
      </c>
      <c r="N18" s="23"/>
      <c r="O18" s="23"/>
      <c r="P18" s="23"/>
      <c r="Q18" s="23"/>
      <c r="R18" s="23"/>
    </row>
    <row r="19" spans="1:18" x14ac:dyDescent="0.2">
      <c r="A19" s="2" t="s">
        <v>2132</v>
      </c>
      <c r="B19" s="2" t="s">
        <v>2601</v>
      </c>
      <c r="C19" s="23">
        <v>192</v>
      </c>
      <c r="D19" s="23">
        <v>2</v>
      </c>
      <c r="E19" s="23">
        <v>12</v>
      </c>
      <c r="F19" s="23">
        <v>224</v>
      </c>
      <c r="G19" s="23">
        <v>137</v>
      </c>
      <c r="H19" s="23">
        <v>409</v>
      </c>
      <c r="I19" s="23">
        <v>545</v>
      </c>
      <c r="J19" s="23">
        <v>72</v>
      </c>
      <c r="K19" s="23">
        <v>125</v>
      </c>
      <c r="L19" s="23">
        <v>50</v>
      </c>
      <c r="M19" s="23"/>
      <c r="N19" s="23"/>
      <c r="O19" s="23"/>
      <c r="P19" s="23"/>
      <c r="Q19" s="23"/>
      <c r="R19" s="23"/>
    </row>
    <row r="20" spans="1:18" x14ac:dyDescent="0.2">
      <c r="A20" s="2" t="s">
        <v>2133</v>
      </c>
      <c r="B20" s="2" t="s">
        <v>2601</v>
      </c>
      <c r="C20" s="23">
        <v>14</v>
      </c>
      <c r="D20" s="23">
        <v>31</v>
      </c>
      <c r="E20" s="23">
        <v>61</v>
      </c>
      <c r="F20" s="23">
        <v>283</v>
      </c>
      <c r="G20" s="23">
        <v>148</v>
      </c>
      <c r="H20" s="23">
        <v>209</v>
      </c>
      <c r="I20" s="23">
        <v>235</v>
      </c>
      <c r="J20" s="23">
        <v>292</v>
      </c>
      <c r="K20" s="23">
        <v>410</v>
      </c>
      <c r="L20" s="23">
        <v>505</v>
      </c>
      <c r="M20" s="23"/>
      <c r="N20" s="23"/>
      <c r="O20" s="23"/>
      <c r="P20" s="23"/>
      <c r="Q20" s="23"/>
      <c r="R20" s="23"/>
    </row>
    <row r="21" spans="1:18" x14ac:dyDescent="0.2">
      <c r="A21" s="2" t="s">
        <v>2134</v>
      </c>
      <c r="B21" s="2" t="s">
        <v>2601</v>
      </c>
      <c r="C21" s="23">
        <v>323</v>
      </c>
      <c r="D21" s="23">
        <v>56</v>
      </c>
      <c r="E21" s="23">
        <v>23</v>
      </c>
      <c r="F21" s="23">
        <v>295</v>
      </c>
      <c r="G21" s="23">
        <v>40</v>
      </c>
      <c r="H21" s="23">
        <v>107</v>
      </c>
      <c r="I21" s="23">
        <v>6</v>
      </c>
      <c r="J21" s="23">
        <v>220</v>
      </c>
      <c r="K21" s="23">
        <v>375</v>
      </c>
      <c r="L21" s="23">
        <v>286</v>
      </c>
      <c r="M21" s="23"/>
      <c r="N21" s="23"/>
      <c r="O21" s="23"/>
      <c r="P21" s="23"/>
      <c r="Q21" s="23"/>
      <c r="R21" s="23"/>
    </row>
    <row r="22" spans="1:18" x14ac:dyDescent="0.2">
      <c r="A22" s="1" t="s">
        <v>2135</v>
      </c>
      <c r="B22" s="1" t="s">
        <v>2601</v>
      </c>
      <c r="C22" s="23">
        <v>165</v>
      </c>
      <c r="D22" s="23">
        <v>421</v>
      </c>
      <c r="E22" s="23">
        <v>394</v>
      </c>
      <c r="F22" s="23">
        <v>360</v>
      </c>
      <c r="G22" s="23">
        <v>490</v>
      </c>
      <c r="H22" s="23">
        <v>345</v>
      </c>
      <c r="I22" s="23">
        <v>362</v>
      </c>
      <c r="J22" s="23">
        <v>318</v>
      </c>
      <c r="K22" s="23">
        <v>338</v>
      </c>
      <c r="L22" s="23">
        <v>156</v>
      </c>
      <c r="M22" s="23">
        <v>215</v>
      </c>
      <c r="N22" s="23">
        <v>267</v>
      </c>
      <c r="O22" s="23"/>
      <c r="P22" s="23"/>
      <c r="Q22" s="23"/>
      <c r="R22" s="23"/>
    </row>
    <row r="23" spans="1:18" x14ac:dyDescent="0.2">
      <c r="A23" s="1" t="s">
        <v>2136</v>
      </c>
      <c r="B23" s="1" t="s">
        <v>2601</v>
      </c>
      <c r="C23" s="23">
        <v>180</v>
      </c>
      <c r="D23" s="23">
        <v>233</v>
      </c>
      <c r="E23" s="23">
        <v>520</v>
      </c>
      <c r="F23" s="23">
        <v>65</v>
      </c>
      <c r="G23" s="23">
        <v>145</v>
      </c>
      <c r="H23" s="23">
        <v>427</v>
      </c>
      <c r="I23" s="23">
        <v>376</v>
      </c>
      <c r="J23" s="23">
        <v>378</v>
      </c>
      <c r="K23" s="23">
        <v>100</v>
      </c>
      <c r="L23" s="23">
        <v>35</v>
      </c>
      <c r="M23" s="23">
        <v>287</v>
      </c>
      <c r="N23" s="23">
        <v>77</v>
      </c>
      <c r="O23" s="23">
        <v>519</v>
      </c>
      <c r="P23" s="23">
        <v>604</v>
      </c>
      <c r="Q23" s="23"/>
      <c r="R23" s="23"/>
    </row>
    <row r="24" spans="1:18" x14ac:dyDescent="0.2">
      <c r="A24" s="1" t="s">
        <v>2137</v>
      </c>
      <c r="B24" s="1" t="s">
        <v>2601</v>
      </c>
      <c r="C24" s="23">
        <v>176</v>
      </c>
      <c r="D24" s="23">
        <v>557</v>
      </c>
      <c r="E24" s="23">
        <v>190</v>
      </c>
      <c r="F24" s="23">
        <v>54</v>
      </c>
      <c r="G24" s="23">
        <v>17</v>
      </c>
      <c r="H24" s="23">
        <v>32</v>
      </c>
      <c r="I24" s="23">
        <v>5</v>
      </c>
      <c r="J24" s="23">
        <v>406</v>
      </c>
      <c r="K24" s="23">
        <v>155</v>
      </c>
      <c r="L24" s="23">
        <v>369</v>
      </c>
      <c r="M24" s="23">
        <v>356</v>
      </c>
      <c r="N24" s="23"/>
      <c r="O24" s="23"/>
      <c r="P24" s="23"/>
      <c r="Q24" s="23"/>
      <c r="R24" s="23"/>
    </row>
    <row r="25" spans="1:18" x14ac:dyDescent="0.2">
      <c r="A25" s="1" t="s">
        <v>2138</v>
      </c>
      <c r="B25" s="1" t="s">
        <v>2601</v>
      </c>
      <c r="C25" s="23">
        <v>167</v>
      </c>
      <c r="D25" s="23">
        <v>172</v>
      </c>
      <c r="E25" s="23">
        <v>108</v>
      </c>
      <c r="F25" s="23">
        <v>276</v>
      </c>
      <c r="G25" s="23">
        <v>208</v>
      </c>
      <c r="H25" s="23">
        <v>24</v>
      </c>
      <c r="I25" s="23">
        <v>191</v>
      </c>
      <c r="J25" s="23">
        <v>143</v>
      </c>
      <c r="K25" s="23">
        <v>221</v>
      </c>
      <c r="L25" s="23">
        <v>168</v>
      </c>
      <c r="M25" s="23">
        <v>585</v>
      </c>
      <c r="N25" s="23"/>
      <c r="O25" s="23"/>
      <c r="P25" s="23"/>
      <c r="Q25" s="23"/>
      <c r="R25" s="23"/>
    </row>
    <row r="26" spans="1:18" x14ac:dyDescent="0.2">
      <c r="A26" s="1" t="s">
        <v>2139</v>
      </c>
      <c r="B26" s="1" t="s">
        <v>2601</v>
      </c>
      <c r="C26" s="23">
        <v>377</v>
      </c>
      <c r="D26" s="23">
        <v>296</v>
      </c>
      <c r="E26" s="23">
        <v>358</v>
      </c>
      <c r="F26" s="23">
        <v>118</v>
      </c>
      <c r="G26" s="23">
        <v>398</v>
      </c>
      <c r="H26" s="23">
        <v>48</v>
      </c>
      <c r="I26" s="23">
        <v>230</v>
      </c>
      <c r="J26" s="23">
        <v>385</v>
      </c>
      <c r="K26" s="23">
        <v>540</v>
      </c>
      <c r="L26" s="23">
        <v>57</v>
      </c>
      <c r="M26" s="23">
        <v>130</v>
      </c>
      <c r="N26" s="23">
        <v>281</v>
      </c>
      <c r="O26" s="23"/>
      <c r="P26" s="23"/>
      <c r="Q26" s="23"/>
      <c r="R26" s="23"/>
    </row>
    <row r="27" spans="1:18" x14ac:dyDescent="0.2">
      <c r="A27" s="1" t="s">
        <v>2140</v>
      </c>
      <c r="B27" s="1" t="s">
        <v>2601</v>
      </c>
      <c r="C27" s="23">
        <v>457</v>
      </c>
      <c r="D27" s="23">
        <v>498</v>
      </c>
      <c r="E27" s="23">
        <v>349</v>
      </c>
      <c r="F27" s="23">
        <v>365</v>
      </c>
      <c r="G27" s="23">
        <v>370</v>
      </c>
      <c r="H27" s="23">
        <v>149</v>
      </c>
      <c r="I27" s="23">
        <v>226</v>
      </c>
      <c r="J27" s="23">
        <v>463</v>
      </c>
      <c r="K27" s="23">
        <v>254</v>
      </c>
      <c r="L27" s="23">
        <v>284</v>
      </c>
      <c r="M27" s="23">
        <v>294</v>
      </c>
      <c r="N27" s="23">
        <v>357</v>
      </c>
      <c r="O27" s="23">
        <v>553</v>
      </c>
      <c r="P27" s="23">
        <v>571</v>
      </c>
      <c r="Q27" s="23">
        <v>577</v>
      </c>
      <c r="R27" s="23">
        <v>592</v>
      </c>
    </row>
    <row r="28" spans="1:18" x14ac:dyDescent="0.2">
      <c r="A28" s="1" t="s">
        <v>2141</v>
      </c>
      <c r="B28" s="1" t="s">
        <v>2601</v>
      </c>
      <c r="C28" s="23">
        <v>30</v>
      </c>
      <c r="D28" s="23">
        <v>28</v>
      </c>
      <c r="E28" s="23">
        <v>109</v>
      </c>
      <c r="F28" s="23">
        <v>379</v>
      </c>
      <c r="G28" s="23">
        <v>121</v>
      </c>
      <c r="H28" s="23">
        <v>350</v>
      </c>
      <c r="I28" s="23">
        <v>371</v>
      </c>
      <c r="J28" s="23">
        <v>171</v>
      </c>
      <c r="K28" s="23">
        <v>603</v>
      </c>
      <c r="L28" s="23">
        <v>306</v>
      </c>
      <c r="M28" s="23">
        <v>8</v>
      </c>
      <c r="N28" s="23">
        <v>392</v>
      </c>
      <c r="O28" s="23"/>
      <c r="P28" s="23"/>
      <c r="Q28" s="23"/>
      <c r="R28" s="23"/>
    </row>
    <row r="29" spans="1:18" x14ac:dyDescent="0.2">
      <c r="A29" s="1" t="s">
        <v>2142</v>
      </c>
      <c r="B29" s="1" t="s">
        <v>2601</v>
      </c>
      <c r="C29" s="23">
        <v>4</v>
      </c>
      <c r="D29" s="23">
        <v>198</v>
      </c>
      <c r="E29" s="23">
        <v>11</v>
      </c>
      <c r="F29" s="23">
        <v>13</v>
      </c>
      <c r="G29" s="23">
        <v>59</v>
      </c>
      <c r="H29" s="23">
        <v>1</v>
      </c>
      <c r="I29" s="23">
        <v>120</v>
      </c>
      <c r="J29" s="23">
        <v>129</v>
      </c>
      <c r="K29" s="23">
        <v>189</v>
      </c>
      <c r="L29" s="23"/>
      <c r="M29" s="23"/>
      <c r="N29" s="23"/>
      <c r="O29" s="23"/>
      <c r="P29" s="23"/>
      <c r="Q29" s="23"/>
      <c r="R29" s="23"/>
    </row>
    <row r="30" spans="1:18" x14ac:dyDescent="0.2">
      <c r="A30" s="1" t="s">
        <v>2143</v>
      </c>
      <c r="B30" s="1" t="s">
        <v>2601</v>
      </c>
      <c r="C30" s="23">
        <v>210</v>
      </c>
      <c r="D30" s="23">
        <v>270</v>
      </c>
      <c r="E30" s="23">
        <v>312</v>
      </c>
      <c r="F30" s="23">
        <v>241</v>
      </c>
      <c r="G30" s="23">
        <v>384</v>
      </c>
      <c r="H30" s="23">
        <v>590</v>
      </c>
      <c r="I30" s="23">
        <v>216</v>
      </c>
      <c r="J30" s="23">
        <v>75</v>
      </c>
      <c r="K30" s="23">
        <v>244</v>
      </c>
      <c r="L30" s="23">
        <v>18</v>
      </c>
      <c r="M30" s="23">
        <v>590</v>
      </c>
      <c r="N30" s="23"/>
      <c r="O30" s="23"/>
      <c r="P30" s="23"/>
      <c r="Q30" s="23"/>
      <c r="R30" s="23"/>
    </row>
    <row r="31" spans="1:18" x14ac:dyDescent="0.2">
      <c r="A31" s="1" t="s">
        <v>2144</v>
      </c>
      <c r="B31" s="1" t="s">
        <v>2601</v>
      </c>
      <c r="C31" s="23">
        <v>113</v>
      </c>
      <c r="D31" s="23">
        <v>364</v>
      </c>
      <c r="E31" s="23">
        <v>138</v>
      </c>
      <c r="F31" s="23">
        <v>333</v>
      </c>
      <c r="G31" s="23">
        <v>94</v>
      </c>
      <c r="H31" s="23">
        <v>274</v>
      </c>
      <c r="I31" s="23">
        <v>418</v>
      </c>
      <c r="J31" s="23">
        <v>423</v>
      </c>
      <c r="K31" s="23">
        <v>328</v>
      </c>
      <c r="L31" s="23">
        <v>144</v>
      </c>
      <c r="M31" s="23">
        <v>83</v>
      </c>
      <c r="N31" s="23">
        <v>586</v>
      </c>
      <c r="O31" s="23"/>
      <c r="P31" s="23"/>
      <c r="Q31" s="23"/>
      <c r="R31" s="23"/>
    </row>
    <row r="32" spans="1:18" x14ac:dyDescent="0.2">
      <c r="A32" s="1" t="s">
        <v>2145</v>
      </c>
      <c r="B32" s="1" t="s">
        <v>2601</v>
      </c>
      <c r="C32" s="23">
        <v>85</v>
      </c>
      <c r="D32" s="23">
        <v>166</v>
      </c>
      <c r="E32" s="23">
        <v>582</v>
      </c>
      <c r="F32" s="23">
        <v>22</v>
      </c>
      <c r="G32" s="23">
        <v>552</v>
      </c>
      <c r="H32" s="23">
        <v>39</v>
      </c>
      <c r="I32" s="23">
        <v>86</v>
      </c>
      <c r="J32" s="23">
        <v>347</v>
      </c>
      <c r="K32" s="23">
        <v>354</v>
      </c>
      <c r="L32" s="23">
        <v>564</v>
      </c>
      <c r="M32" s="23">
        <v>139</v>
      </c>
      <c r="N32" s="23"/>
      <c r="O32" s="23"/>
      <c r="P32" s="23"/>
      <c r="Q32" s="23"/>
      <c r="R32" s="23"/>
    </row>
    <row r="33" spans="1:18" x14ac:dyDescent="0.2">
      <c r="A33" s="1" t="s">
        <v>2146</v>
      </c>
      <c r="B33" s="1" t="s">
        <v>2601</v>
      </c>
      <c r="C33" s="23">
        <v>186</v>
      </c>
      <c r="D33" s="23">
        <v>55</v>
      </c>
      <c r="E33" s="23">
        <v>42</v>
      </c>
      <c r="F33" s="23">
        <v>150</v>
      </c>
      <c r="G33" s="23">
        <v>599</v>
      </c>
      <c r="H33" s="23">
        <v>43</v>
      </c>
      <c r="I33" s="23">
        <v>60</v>
      </c>
      <c r="J33" s="23">
        <v>257</v>
      </c>
      <c r="K33" s="23">
        <v>566</v>
      </c>
      <c r="L33" s="23">
        <v>68</v>
      </c>
      <c r="M33" s="23">
        <v>157</v>
      </c>
      <c r="N33" s="23">
        <v>126</v>
      </c>
      <c r="O33" s="23"/>
      <c r="P33" s="23"/>
      <c r="Q33" s="23"/>
      <c r="R33" s="23"/>
    </row>
    <row r="34" spans="1:18" x14ac:dyDescent="0.2">
      <c r="A34" s="1" t="s">
        <v>2147</v>
      </c>
      <c r="B34" s="1" t="s">
        <v>2601</v>
      </c>
      <c r="C34" s="23">
        <v>329</v>
      </c>
      <c r="D34" s="23">
        <v>282</v>
      </c>
      <c r="E34" s="23">
        <v>47</v>
      </c>
      <c r="F34" s="23">
        <v>82</v>
      </c>
      <c r="G34" s="23">
        <v>223</v>
      </c>
      <c r="H34" s="23">
        <v>69</v>
      </c>
      <c r="I34" s="23">
        <v>320</v>
      </c>
      <c r="J34" s="23">
        <v>93</v>
      </c>
      <c r="K34" s="23">
        <v>361</v>
      </c>
      <c r="L34" s="23">
        <v>92</v>
      </c>
      <c r="M34" s="23">
        <v>128</v>
      </c>
      <c r="N34" s="23">
        <v>581</v>
      </c>
      <c r="O34" s="23"/>
      <c r="P34" s="23"/>
      <c r="Q34" s="23"/>
      <c r="R34" s="23"/>
    </row>
    <row r="35" spans="1:18" x14ac:dyDescent="0.2">
      <c r="A35" s="1" t="s">
        <v>2148</v>
      </c>
      <c r="B35" s="1" t="s">
        <v>2601</v>
      </c>
      <c r="C35" s="23">
        <v>298</v>
      </c>
      <c r="D35" s="23">
        <v>111</v>
      </c>
      <c r="E35" s="23">
        <v>133</v>
      </c>
      <c r="F35" s="23">
        <v>154</v>
      </c>
      <c r="G35" s="23">
        <v>161</v>
      </c>
      <c r="H35" s="23">
        <v>169</v>
      </c>
      <c r="I35" s="23">
        <v>412</v>
      </c>
      <c r="J35" s="23">
        <v>114</v>
      </c>
      <c r="K35" s="23">
        <v>580</v>
      </c>
      <c r="L35" s="23">
        <v>10</v>
      </c>
      <c r="M35" s="23">
        <v>188</v>
      </c>
      <c r="N35" s="23">
        <v>64</v>
      </c>
      <c r="O35" s="23"/>
      <c r="P35" s="23"/>
      <c r="Q35" s="23"/>
      <c r="R35" s="23"/>
    </row>
    <row r="36" spans="1:18" x14ac:dyDescent="0.2">
      <c r="A36" s="1" t="s">
        <v>2149</v>
      </c>
      <c r="B36" s="1" t="s">
        <v>2601</v>
      </c>
      <c r="C36" s="23">
        <v>248</v>
      </c>
      <c r="D36" s="23">
        <v>52</v>
      </c>
      <c r="E36" s="23">
        <v>587</v>
      </c>
      <c r="F36" s="23">
        <v>187</v>
      </c>
      <c r="G36" s="23">
        <v>509</v>
      </c>
      <c r="H36" s="23">
        <v>513</v>
      </c>
      <c r="I36" s="23">
        <v>170</v>
      </c>
      <c r="J36" s="23">
        <v>506</v>
      </c>
      <c r="K36" s="23">
        <v>110</v>
      </c>
      <c r="L36" s="23">
        <v>152</v>
      </c>
      <c r="M36" s="23">
        <v>96</v>
      </c>
      <c r="N36" s="23">
        <v>606</v>
      </c>
      <c r="O36" s="23"/>
      <c r="P36" s="23"/>
      <c r="Q36" s="23"/>
      <c r="R36" s="23"/>
    </row>
    <row r="37" spans="1:18" x14ac:dyDescent="0.2">
      <c r="A37" s="1" t="s">
        <v>2150</v>
      </c>
      <c r="B37" s="1" t="s">
        <v>2601</v>
      </c>
      <c r="C37" s="23">
        <v>212</v>
      </c>
      <c r="D37" s="23">
        <v>245</v>
      </c>
      <c r="E37" s="23">
        <v>256</v>
      </c>
      <c r="F37" s="23">
        <v>321</v>
      </c>
      <c r="G37" s="23">
        <v>355</v>
      </c>
      <c r="H37" s="23">
        <v>444</v>
      </c>
      <c r="I37" s="23">
        <v>367</v>
      </c>
      <c r="J37" s="23">
        <v>454</v>
      </c>
      <c r="K37" s="23">
        <v>470</v>
      </c>
      <c r="L37" s="23">
        <v>507</v>
      </c>
      <c r="M37" s="23">
        <v>479</v>
      </c>
      <c r="N37" s="23">
        <v>518</v>
      </c>
      <c r="O37" s="23"/>
      <c r="P37" s="23"/>
      <c r="Q37" s="23"/>
      <c r="R37" s="23"/>
    </row>
    <row r="38" spans="1:18" x14ac:dyDescent="0.2">
      <c r="A38" s="1" t="s">
        <v>2151</v>
      </c>
      <c r="B38" s="1" t="s">
        <v>2601</v>
      </c>
      <c r="C38" s="23">
        <v>313</v>
      </c>
      <c r="D38" s="23">
        <v>441</v>
      </c>
      <c r="E38" s="23">
        <v>63</v>
      </c>
      <c r="F38" s="23">
        <v>402</v>
      </c>
      <c r="G38" s="23">
        <v>268</v>
      </c>
      <c r="H38" s="23">
        <v>383</v>
      </c>
      <c r="I38" s="23">
        <v>510</v>
      </c>
      <c r="J38" s="23">
        <v>556</v>
      </c>
      <c r="K38" s="23">
        <v>279</v>
      </c>
      <c r="L38" s="23">
        <v>164</v>
      </c>
      <c r="M38" s="23">
        <v>574</v>
      </c>
      <c r="N38" s="23"/>
      <c r="O38" s="23"/>
      <c r="P38" s="23"/>
      <c r="Q38" s="23"/>
      <c r="R38" s="23"/>
    </row>
    <row r="39" spans="1:18" x14ac:dyDescent="0.2">
      <c r="A39" s="1" t="s">
        <v>2152</v>
      </c>
      <c r="B39" s="1" t="s">
        <v>2601</v>
      </c>
      <c r="C39" s="23">
        <v>368</v>
      </c>
      <c r="D39" s="23">
        <v>269</v>
      </c>
      <c r="E39" s="23">
        <v>62</v>
      </c>
      <c r="F39" s="23">
        <v>177</v>
      </c>
      <c r="G39" s="23">
        <v>525</v>
      </c>
      <c r="H39" s="23">
        <v>104</v>
      </c>
      <c r="I39" s="23">
        <v>178</v>
      </c>
      <c r="J39" s="23">
        <v>417</v>
      </c>
      <c r="K39" s="23">
        <v>80</v>
      </c>
      <c r="L39" s="23">
        <v>201</v>
      </c>
      <c r="M39" s="23"/>
      <c r="N39" s="23"/>
      <c r="O39" s="23"/>
      <c r="P39" s="23"/>
      <c r="Q39" s="23"/>
      <c r="R39" s="23"/>
    </row>
    <row r="40" spans="1:18" x14ac:dyDescent="0.2">
      <c r="A40" s="1" t="s">
        <v>2153</v>
      </c>
      <c r="B40" s="1" t="s">
        <v>2601</v>
      </c>
      <c r="C40" s="23">
        <v>249</v>
      </c>
      <c r="D40" s="23">
        <v>240</v>
      </c>
      <c r="E40" s="23">
        <v>435</v>
      </c>
      <c r="F40" s="23">
        <v>302</v>
      </c>
      <c r="G40" s="23">
        <v>352</v>
      </c>
      <c r="H40" s="23">
        <v>424</v>
      </c>
      <c r="I40" s="23">
        <v>461</v>
      </c>
      <c r="J40" s="23">
        <v>73</v>
      </c>
      <c r="K40" s="23">
        <v>390</v>
      </c>
      <c r="L40" s="23">
        <v>112</v>
      </c>
      <c r="M40" s="23"/>
      <c r="N40" s="23"/>
      <c r="O40" s="23"/>
      <c r="P40" s="23"/>
      <c r="Q40" s="23"/>
      <c r="R40" s="23"/>
    </row>
    <row r="41" spans="1:18" x14ac:dyDescent="0.2">
      <c r="A41" s="1" t="s">
        <v>2154</v>
      </c>
      <c r="B41" s="1" t="s">
        <v>2601</v>
      </c>
      <c r="C41" s="23">
        <v>262</v>
      </c>
      <c r="D41" s="23">
        <v>583</v>
      </c>
      <c r="E41" s="23">
        <v>428</v>
      </c>
      <c r="F41" s="23">
        <v>142</v>
      </c>
      <c r="G41" s="23">
        <v>314</v>
      </c>
      <c r="H41" s="23">
        <v>153</v>
      </c>
      <c r="I41" s="23">
        <v>397</v>
      </c>
      <c r="J41" s="23">
        <v>351</v>
      </c>
      <c r="K41" s="23">
        <v>436</v>
      </c>
      <c r="L41" s="23">
        <v>528</v>
      </c>
      <c r="M41" s="23">
        <v>27</v>
      </c>
      <c r="N41" s="23">
        <v>339</v>
      </c>
      <c r="O41" s="23"/>
      <c r="P41" s="23"/>
      <c r="Q41" s="23"/>
      <c r="R41" s="23"/>
    </row>
    <row r="42" spans="1:18" x14ac:dyDescent="0.2">
      <c r="A42" s="1" t="s">
        <v>2747</v>
      </c>
      <c r="B42" s="1" t="s">
        <v>2734</v>
      </c>
      <c r="C42" s="23">
        <v>425</v>
      </c>
      <c r="D42" s="23">
        <v>485</v>
      </c>
      <c r="E42" s="23">
        <v>476</v>
      </c>
      <c r="F42" s="23">
        <v>456</v>
      </c>
      <c r="G42" s="23">
        <v>309</v>
      </c>
      <c r="H42" s="23">
        <v>363</v>
      </c>
      <c r="I42" s="23">
        <v>340</v>
      </c>
      <c r="J42" s="23">
        <v>326</v>
      </c>
      <c r="K42" s="23">
        <v>311</v>
      </c>
      <c r="L42" s="23">
        <v>579</v>
      </c>
      <c r="M42" s="23">
        <v>319</v>
      </c>
      <c r="N42" s="23"/>
      <c r="O42" s="23"/>
      <c r="P42" s="23"/>
      <c r="Q42" s="23"/>
      <c r="R42" s="23"/>
    </row>
    <row r="43" spans="1:18" x14ac:dyDescent="0.2">
      <c r="A43" s="1" t="s">
        <v>2748</v>
      </c>
      <c r="B43" s="30" t="s">
        <v>2735</v>
      </c>
      <c r="C43" s="36">
        <v>554</v>
      </c>
      <c r="D43" s="36">
        <v>502</v>
      </c>
      <c r="E43" s="36">
        <v>501</v>
      </c>
      <c r="F43" s="36">
        <v>523</v>
      </c>
      <c r="G43" s="36">
        <v>524</v>
      </c>
      <c r="H43" s="36">
        <v>432</v>
      </c>
      <c r="I43" s="36">
        <v>465</v>
      </c>
      <c r="J43" s="36">
        <v>458</v>
      </c>
      <c r="K43" s="36">
        <v>353</v>
      </c>
      <c r="L43" s="23"/>
      <c r="M43" s="23"/>
      <c r="N43" s="23"/>
      <c r="O43" s="23"/>
      <c r="P43" s="23"/>
      <c r="Q43" s="23"/>
      <c r="R43" s="23"/>
    </row>
    <row r="44" spans="1:18" x14ac:dyDescent="0.2">
      <c r="A44" s="1" t="s">
        <v>2749</v>
      </c>
      <c r="B44" s="31"/>
      <c r="C44" s="37"/>
      <c r="D44" s="37"/>
      <c r="E44" s="37"/>
      <c r="F44" s="37"/>
      <c r="G44" s="37"/>
      <c r="H44" s="37"/>
      <c r="I44" s="37"/>
      <c r="J44" s="37"/>
      <c r="K44" s="37"/>
      <c r="L44" s="23"/>
      <c r="M44" s="23"/>
      <c r="N44" s="23"/>
      <c r="O44" s="23"/>
      <c r="P44" s="23"/>
      <c r="Q44" s="23"/>
      <c r="R44" s="23"/>
    </row>
    <row r="45" spans="1:18" x14ac:dyDescent="0.2">
      <c r="A45" s="1" t="s">
        <v>2750</v>
      </c>
      <c r="B45" s="1" t="s">
        <v>2736</v>
      </c>
      <c r="C45" s="23">
        <v>382</v>
      </c>
      <c r="D45" s="23">
        <v>289</v>
      </c>
      <c r="E45" s="23">
        <v>336</v>
      </c>
      <c r="F45" s="23">
        <v>366</v>
      </c>
      <c r="G45" s="23">
        <v>469</v>
      </c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x14ac:dyDescent="0.2">
      <c r="A46" s="1" t="s">
        <v>2751</v>
      </c>
      <c r="B46" s="30" t="s">
        <v>2737</v>
      </c>
      <c r="C46" s="36">
        <v>413</v>
      </c>
      <c r="D46" s="36">
        <v>474</v>
      </c>
      <c r="E46" s="36">
        <v>381</v>
      </c>
      <c r="F46" s="36">
        <v>407</v>
      </c>
      <c r="G46" s="36">
        <v>511</v>
      </c>
      <c r="H46" s="36">
        <v>533</v>
      </c>
      <c r="I46" s="36">
        <v>541</v>
      </c>
      <c r="J46" s="23"/>
      <c r="K46" s="23"/>
      <c r="L46" s="23"/>
      <c r="M46" s="23"/>
      <c r="N46" s="23"/>
      <c r="O46" s="23"/>
      <c r="P46" s="23"/>
      <c r="Q46" s="23"/>
      <c r="R46" s="23"/>
    </row>
    <row r="47" spans="1:18" x14ac:dyDescent="0.2">
      <c r="A47" s="1" t="s">
        <v>2752</v>
      </c>
      <c r="B47" s="31"/>
      <c r="C47" s="37"/>
      <c r="D47" s="37"/>
      <c r="E47" s="37"/>
      <c r="F47" s="37"/>
      <c r="G47" s="37"/>
      <c r="H47" s="37"/>
      <c r="I47" s="37"/>
      <c r="J47" s="23"/>
      <c r="K47" s="23"/>
      <c r="L47" s="23"/>
      <c r="M47" s="23"/>
      <c r="N47" s="23"/>
      <c r="O47" s="23"/>
      <c r="P47" s="23"/>
      <c r="Q47" s="23"/>
      <c r="R47" s="23"/>
    </row>
    <row r="48" spans="1:18" x14ac:dyDescent="0.2">
      <c r="A48" s="1" t="s">
        <v>2753</v>
      </c>
      <c r="B48" s="1" t="s">
        <v>2738</v>
      </c>
      <c r="C48" s="23">
        <v>551</v>
      </c>
      <c r="D48" s="23">
        <v>459</v>
      </c>
      <c r="E48" s="23">
        <v>443</v>
      </c>
      <c r="F48" s="23">
        <v>483</v>
      </c>
      <c r="G48" s="23">
        <v>486</v>
      </c>
      <c r="H48" s="23">
        <v>466</v>
      </c>
      <c r="I48" s="23">
        <v>405</v>
      </c>
      <c r="J48" s="23">
        <v>343</v>
      </c>
      <c r="K48" s="23">
        <v>561</v>
      </c>
      <c r="L48" s="23">
        <v>575</v>
      </c>
      <c r="M48" s="23">
        <v>534</v>
      </c>
      <c r="N48" s="23"/>
      <c r="O48" s="23"/>
      <c r="P48" s="23"/>
      <c r="Q48" s="23"/>
      <c r="R48" s="23"/>
    </row>
    <row r="49" spans="1:18" x14ac:dyDescent="0.2">
      <c r="A49" s="1" t="s">
        <v>2754</v>
      </c>
      <c r="B49" s="1" t="s">
        <v>2739</v>
      </c>
      <c r="C49" s="23">
        <v>415</v>
      </c>
      <c r="D49" s="23">
        <v>420</v>
      </c>
      <c r="E49" s="23">
        <v>446</v>
      </c>
      <c r="F49" s="23">
        <v>447</v>
      </c>
      <c r="G49" s="23">
        <v>601</v>
      </c>
      <c r="H49" s="23">
        <v>475</v>
      </c>
      <c r="I49" s="23">
        <v>531</v>
      </c>
      <c r="J49" s="23"/>
      <c r="K49" s="23"/>
      <c r="L49" s="23"/>
      <c r="M49" s="23"/>
      <c r="N49" s="23"/>
      <c r="O49" s="23"/>
      <c r="P49" s="23"/>
      <c r="Q49" s="23"/>
      <c r="R49" s="23"/>
    </row>
    <row r="50" spans="1:18" x14ac:dyDescent="0.2">
      <c r="A50" s="1" t="s">
        <v>2755</v>
      </c>
      <c r="B50" s="1" t="s">
        <v>2740</v>
      </c>
      <c r="C50" s="23">
        <v>468</v>
      </c>
      <c r="D50" s="23">
        <v>455</v>
      </c>
      <c r="E50" s="23">
        <v>416</v>
      </c>
      <c r="F50" s="23">
        <v>488</v>
      </c>
      <c r="G50" s="23">
        <v>400</v>
      </c>
      <c r="H50" s="23">
        <v>477</v>
      </c>
      <c r="I50" s="23">
        <v>497</v>
      </c>
      <c r="J50" s="23">
        <v>335</v>
      </c>
      <c r="K50" s="23">
        <v>280</v>
      </c>
      <c r="L50" s="23">
        <v>303</v>
      </c>
      <c r="M50" s="23">
        <v>294</v>
      </c>
      <c r="N50" s="23">
        <v>478</v>
      </c>
      <c r="O50" s="23"/>
      <c r="P50" s="23"/>
      <c r="Q50" s="23"/>
      <c r="R50" s="23"/>
    </row>
    <row r="51" spans="1:18" x14ac:dyDescent="0.2">
      <c r="A51" s="1" t="s">
        <v>2756</v>
      </c>
      <c r="B51" s="30" t="s">
        <v>2741</v>
      </c>
      <c r="C51" s="36">
        <v>429</v>
      </c>
      <c r="D51" s="36">
        <v>430</v>
      </c>
      <c r="E51" s="36">
        <v>411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x14ac:dyDescent="0.2">
      <c r="A52" s="1" t="s">
        <v>2757</v>
      </c>
      <c r="B52" s="31"/>
      <c r="C52" s="37"/>
      <c r="D52" s="37"/>
      <c r="E52" s="37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x14ac:dyDescent="0.2">
      <c r="A53" s="1" t="s">
        <v>2758</v>
      </c>
      <c r="B53" s="30" t="s">
        <v>2742</v>
      </c>
      <c r="C53" s="36">
        <v>492</v>
      </c>
      <c r="D53" s="36">
        <v>495</v>
      </c>
      <c r="E53" s="36">
        <v>493</v>
      </c>
      <c r="F53" s="36">
        <v>491</v>
      </c>
      <c r="G53" s="36">
        <v>487</v>
      </c>
      <c r="H53" s="36">
        <v>433</v>
      </c>
      <c r="I53" s="36">
        <v>434</v>
      </c>
      <c r="J53" s="36">
        <v>569</v>
      </c>
      <c r="K53" s="36">
        <v>568</v>
      </c>
      <c r="L53" s="36">
        <v>344</v>
      </c>
      <c r="M53" s="36">
        <v>496</v>
      </c>
      <c r="N53" s="23"/>
      <c r="O53" s="23"/>
      <c r="P53" s="23"/>
      <c r="Q53" s="23"/>
      <c r="R53" s="23"/>
    </row>
    <row r="54" spans="1:18" x14ac:dyDescent="0.2">
      <c r="A54" s="1" t="s">
        <v>2759</v>
      </c>
      <c r="B54" s="31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23"/>
      <c r="O54" s="23"/>
      <c r="P54" s="23"/>
      <c r="Q54" s="23"/>
      <c r="R54" s="23"/>
    </row>
    <row r="55" spans="1:18" x14ac:dyDescent="0.2">
      <c r="A55" s="1" t="s">
        <v>2760</v>
      </c>
      <c r="B55" s="30" t="s">
        <v>2743</v>
      </c>
      <c r="C55" s="36">
        <v>472</v>
      </c>
      <c r="D55" s="36">
        <v>473</v>
      </c>
      <c r="E55" s="36">
        <v>471</v>
      </c>
      <c r="F55" s="36">
        <v>538</v>
      </c>
      <c r="G55" s="36">
        <v>572</v>
      </c>
      <c r="H55" s="36">
        <v>442</v>
      </c>
      <c r="I55" s="36">
        <v>431</v>
      </c>
      <c r="J55" s="36">
        <v>514</v>
      </c>
      <c r="K55" s="36">
        <v>515</v>
      </c>
      <c r="L55" s="23"/>
      <c r="M55" s="23"/>
      <c r="N55" s="23"/>
      <c r="O55" s="23"/>
      <c r="P55" s="23"/>
      <c r="Q55" s="23"/>
      <c r="R55" s="23"/>
    </row>
    <row r="56" spans="1:18" x14ac:dyDescent="0.2">
      <c r="A56" s="1" t="s">
        <v>2761</v>
      </c>
      <c r="B56" s="31"/>
      <c r="C56" s="37"/>
      <c r="D56" s="37"/>
      <c r="E56" s="37"/>
      <c r="F56" s="37"/>
      <c r="G56" s="37"/>
      <c r="H56" s="37"/>
      <c r="I56" s="37"/>
      <c r="J56" s="37"/>
      <c r="K56" s="37"/>
      <c r="L56" s="23"/>
      <c r="M56" s="23"/>
      <c r="N56" s="23"/>
      <c r="O56" s="23"/>
      <c r="P56" s="23"/>
      <c r="Q56" s="23"/>
      <c r="R56" s="23"/>
    </row>
    <row r="57" spans="1:18" x14ac:dyDescent="0.2">
      <c r="A57" s="1" t="s">
        <v>2762</v>
      </c>
      <c r="B57" s="1" t="s">
        <v>2744</v>
      </c>
      <c r="C57" s="23">
        <v>512</v>
      </c>
      <c r="D57" s="23">
        <v>570</v>
      </c>
      <c r="E57" s="23">
        <v>484</v>
      </c>
      <c r="F57" s="23">
        <v>348</v>
      </c>
      <c r="G57" s="23">
        <v>547</v>
      </c>
      <c r="H57" s="23">
        <v>549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x14ac:dyDescent="0.2">
      <c r="A58" s="1" t="s">
        <v>2763</v>
      </c>
      <c r="B58" s="1" t="s">
        <v>2745</v>
      </c>
      <c r="C58" s="23">
        <v>500</v>
      </c>
      <c r="D58" s="23">
        <v>562</v>
      </c>
      <c r="E58" s="23">
        <v>322</v>
      </c>
      <c r="F58" s="23">
        <v>330</v>
      </c>
      <c r="G58" s="23">
        <v>464</v>
      </c>
      <c r="H58" s="23">
        <v>386</v>
      </c>
      <c r="I58" s="23">
        <v>536</v>
      </c>
      <c r="J58" s="23">
        <v>537</v>
      </c>
      <c r="K58" s="23">
        <v>573</v>
      </c>
      <c r="L58" s="23"/>
      <c r="M58" s="23"/>
      <c r="N58" s="23"/>
      <c r="O58" s="23"/>
      <c r="P58" s="23"/>
      <c r="Q58" s="23"/>
      <c r="R58" s="23"/>
    </row>
  </sheetData>
  <mergeCells count="45">
    <mergeCell ref="E53:E54"/>
    <mergeCell ref="D55:D56"/>
    <mergeCell ref="D53:D54"/>
    <mergeCell ref="C55:C56"/>
    <mergeCell ref="C53:C54"/>
    <mergeCell ref="M53:M54"/>
    <mergeCell ref="L53:L54"/>
    <mergeCell ref="K53:K54"/>
    <mergeCell ref="J53:J54"/>
    <mergeCell ref="I53:I54"/>
    <mergeCell ref="H53:H54"/>
    <mergeCell ref="K55:K56"/>
    <mergeCell ref="J55:J56"/>
    <mergeCell ref="I55:I56"/>
    <mergeCell ref="H55:H56"/>
    <mergeCell ref="G55:G56"/>
    <mergeCell ref="F55:F56"/>
    <mergeCell ref="G53:G54"/>
    <mergeCell ref="F53:F54"/>
    <mergeCell ref="B55:B56"/>
    <mergeCell ref="E55:E56"/>
    <mergeCell ref="B43:B44"/>
    <mergeCell ref="I46:I47"/>
    <mergeCell ref="H46:H47"/>
    <mergeCell ref="G46:G47"/>
    <mergeCell ref="F46:F47"/>
    <mergeCell ref="E46:E47"/>
    <mergeCell ref="D46:D47"/>
    <mergeCell ref="C46:C47"/>
    <mergeCell ref="B46:B47"/>
    <mergeCell ref="B51:B52"/>
    <mergeCell ref="E51:E52"/>
    <mergeCell ref="D51:D52"/>
    <mergeCell ref="C51:C52"/>
    <mergeCell ref="B53:B54"/>
    <mergeCell ref="C1:R1"/>
    <mergeCell ref="K43:K44"/>
    <mergeCell ref="J43:J44"/>
    <mergeCell ref="I43:I44"/>
    <mergeCell ref="H43:H44"/>
    <mergeCell ref="E43:E44"/>
    <mergeCell ref="G43:G44"/>
    <mergeCell ref="F43:F44"/>
    <mergeCell ref="D43:D44"/>
    <mergeCell ref="C43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</vt:lpstr>
      <vt:lpstr>Vehicle</vt:lpstr>
      <vt:lpstr>Dry DC</vt:lpstr>
      <vt:lpstr>Cold 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Bayarzul Sandagjav</dc:creator>
  <cp:lastModifiedBy>Bayarzul Sandagjav</cp:lastModifiedBy>
  <dcterms:created xsi:type="dcterms:W3CDTF">2026-03-17T07:32:37Z</dcterms:created>
  <dcterms:modified xsi:type="dcterms:W3CDTF">2026-04-16T03:15:59Z</dcterms:modified>
</cp:coreProperties>
</file>